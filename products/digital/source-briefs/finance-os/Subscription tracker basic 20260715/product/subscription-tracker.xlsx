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Subscriptions" state="visible" r:id="rId5"/>
    <sheet sheetId="3" name="Categories" state="visible" r:id="rId6"/>
    <sheet sheetId="4" name="Instructions" state="visible" r:id="rId7"/>
  </sheets>
  <definedNames>
    <definedName name="_xlnm.Print_Area" localSheetId="0">'Dashboard'!$A1:$B7</definedName>
    <definedName name="_xlnm.Print_Titles" localSheetId="0">'Dashboard'!$1:$4</definedName>
    <definedName name="_xlnm.Print_Area" localSheetId="1">'Subscriptions'!$A1:$I104</definedName>
    <definedName name="_xlnm.Print_Titles" localSheetId="1">'Subscriptions'!$1:$4</definedName>
    <definedName name="_xlnm.Print_Area" localSheetId="2">'Categories'!$A1:$C44</definedName>
    <definedName name="_xlnm.Print_Titles" localSheetId="2">'Categories'!$1:$4</definedName>
    <definedName name="_xlnm.Print_Area" localSheetId="3">'Instructions'!$A1:$C9</definedName>
    <definedName name="_xlnm.Print_Titles" localSheetId="3">'Instructions'!$1:$4</definedName>
  </definedNames>
  <calcPr calcId="171027" fullCalcOnLoad="1"/>
</workbook>
</file>

<file path=xl/sharedStrings.xml><?xml version="1.0" encoding="utf-8"?>
<sst xmlns="http://schemas.openxmlformats.org/spreadsheetml/2006/main" count="80" uniqueCount="50">
  <si>
    <t>Subscription Tracker</t>
  </si>
  <si>
    <t>Monitor recurring costs, renewal dates and potential savings.</t>
  </si>
  <si>
    <t>en-US · USD · 2026 · sage-finance</t>
  </si>
  <si>
    <t>Description</t>
  </si>
  <si>
    <t>Value</t>
  </si>
  <si>
    <t>Active Count</t>
  </si>
  <si>
    <t>Annual Total</t>
  </si>
  <si>
    <t>Potential Savings</t>
  </si>
  <si>
    <t>Name</t>
  </si>
  <si>
    <t>Provider</t>
  </si>
  <si>
    <t>Category</t>
  </si>
  <si>
    <t>Amount</t>
  </si>
  <si>
    <t>Frequency</t>
  </si>
  <si>
    <t>Cost</t>
  </si>
  <si>
    <t>Due date</t>
  </si>
  <si>
    <t>Status</t>
  </si>
  <si>
    <t>Remaining</t>
  </si>
  <si>
    <t>Video Streaming</t>
  </si>
  <si>
    <t>Example Media</t>
  </si>
  <si>
    <t>Entertainment</t>
  </si>
  <si>
    <t>MONTHLY</t>
  </si>
  <si>
    <t>ACTIVE</t>
  </si>
  <si>
    <t>Cloud Storage</t>
  </si>
  <si>
    <t>Example Cloud</t>
  </si>
  <si>
    <t>Utilities</t>
  </si>
  <si>
    <t>Fitness App</t>
  </si>
  <si>
    <t>Example Fitness</t>
  </si>
  <si>
    <t>Healthcare</t>
  </si>
  <si>
    <t>ANNUAL</t>
  </si>
  <si>
    <t>CANCEL_CANDIDATE</t>
  </si>
  <si>
    <t>Music Service</t>
  </si>
  <si>
    <t>Example Audio</t>
  </si>
  <si>
    <t>Device Cover</t>
  </si>
  <si>
    <t>Example Cover</t>
  </si>
  <si>
    <t>Insurance</t>
  </si>
  <si>
    <t>PAUSED</t>
  </si>
  <si>
    <t>Type</t>
  </si>
  <si>
    <t>Budgeted</t>
  </si>
  <si>
    <t>Salary</t>
  </si>
  <si>
    <t>INCOME</t>
  </si>
  <si>
    <t>Freelance Income</t>
  </si>
  <si>
    <t>Housing</t>
  </si>
  <si>
    <t>EXPENSE</t>
  </si>
  <si>
    <t>Groceries</t>
  </si>
  <si>
    <t>Transport</t>
  </si>
  <si>
    <t>Emergency Savings</t>
  </si>
  <si>
    <t>SAVINGS</t>
  </si>
  <si>
    <t>Long-term Savings</t>
  </si>
  <si>
    <t>100</t>
  </si>
  <si>
    <t>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</si>
</sst>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&quot;$&quot;* #,##0.00_-;[Red]-&quot;$&quot;* #,##0.00_-;_-&quot;$&quot;* &quot;-&quot;??_-"/>
    <numFmt numFmtId="165" formatCode="mm/dd/yyyy"/>
  </numFmts>
  <fonts count="5" x14ac:knownFonts="1">
    <font>
      <color theme="1"/>
      <family val="2"/>
      <scheme val="minor"/>
      <sz val="11"/>
      <name val="Calibri"/>
    </font>
    <font>
      <b/>
      <color rgb="FF1E2B22"/>
      <sz val="20"/>
      <name val="Aptos Display"/>
    </font>
    <font>
      <color rgb="FF1E2B22"/>
      <sz val="10"/>
      <name val="Aptos"/>
    </font>
    <font>
      <color rgb="FF526057"/>
      <sz val="9"/>
      <name val="Cascadia Mono"/>
    </font>
    <font>
      <b/>
      <color rgb="FFFFFFFF"/>
      <name val="Aptos"/>
    </font>
  </fonts>
  <fills count="7">
    <fill>
      <patternFill patternType="none"/>
    </fill>
    <fill>
      <patternFill patternType="gray125"/>
    </fill>
    <fill>
      <patternFill patternType="solid">
        <fgColor rgb="FFF4F7F2"/>
      </patternFill>
    </fill>
    <fill>
      <patternFill patternType="solid">
        <fgColor rgb="FFFFFFFF"/>
      </patternFill>
    </fill>
    <fill>
      <patternFill patternType="solid">
        <fgColor rgb="FF765600"/>
      </patternFill>
    </fill>
    <fill>
      <patternFill patternType="solid">
        <fgColor rgb="FFFFF1C2"/>
      </patternFill>
    </fill>
    <fill>
      <patternFill patternType="solid">
        <fgColor rgb="FFDCEADF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F4F7F2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0" fillId="0" borderId="0" xfId="0" applyNumberFormat="1"/>
    <xf numFmtId="164" fontId="0" fillId="0" borderId="0" xfId="0" applyNumberFormat="1"/>
    <xf numFmtId="164" fontId="1" fillId="2" borderId="0" xfId="0" applyNumberFormat="1" applyFont="1" applyFill="1" applyAlignment="1">
      <alignment horizontal="left" vertical="center"/>
    </xf>
    <xf numFmtId="164" fontId="2" fillId="3" borderId="0" xfId="0" applyNumberFormat="1" applyFont="1" applyFill="1" applyAlignment="1">
      <alignment vertical="center" wrapText="1"/>
    </xf>
    <xf numFmtId="164" fontId="3" fillId="0" borderId="0" xfId="0" applyNumberFormat="1" applyFont="1" applyAlignment="1">
      <alignment vertical="center"/>
    </xf>
    <xf numFmtId="49" fontId="4" fillId="4" borderId="1" xfId="0" applyNumberFormat="1" applyFont="1" applyFill="1" applyBorder="1" applyAlignment="1">
      <alignment horizontal="left" vertical="center" wrapText="1"/>
    </xf>
    <xf numFmtId="164" fontId="4" fillId="4" borderId="1" xfId="0" applyNumberFormat="1" applyFont="1" applyFill="1" applyBorder="1" applyAlignment="1">
      <alignment horizontal="left" vertical="center" wrapText="1"/>
    </xf>
    <xf numFmtId="49" fontId="0" fillId="0" borderId="0" xfId="0" applyNumberFormat="1" applyProtection="1"/>
    <xf numFmtId="164" fontId="0" fillId="0" borderId="0" xfId="0" applyNumberFormat="1" applyProtection="1">
      <protection hidden="1"/>
    </xf>
    <xf numFmtId="165" fontId="0" fillId="0" borderId="0" xfId="0" applyNumberFormat="1"/>
    <xf numFmtId="165" fontId="4" fillId="4" borderId="1" xfId="0" applyNumberFormat="1" applyFont="1" applyFill="1" applyBorder="1" applyAlignment="1">
      <alignment horizontal="left" vertical="center" wrapText="1"/>
    </xf>
    <xf numFmtId="49" fontId="2" fillId="5" borderId="0" xfId="0" applyNumberFormat="1" applyFont="1" applyFill="1" applyAlignment="1" applyProtection="1">
      <alignment horizontal="left" vertical="center"/>
      <protection locked="0"/>
    </xf>
    <xf numFmtId="164" fontId="2" fillId="5" borderId="0" xfId="0" applyNumberFormat="1" applyFont="1" applyFill="1" applyAlignment="1" applyProtection="1">
      <alignment horizontal="right" vertical="center"/>
      <protection locked="0"/>
    </xf>
    <xf numFmtId="164" fontId="2" fillId="6" borderId="0" xfId="0" applyNumberFormat="1" applyFont="1" applyFill="1" applyAlignment="1" applyProtection="1">
      <alignment horizontal="right" vertical="center"/>
      <protection hidden="1"/>
    </xf>
    <xf numFmtId="165" fontId="2" fillId="5" borderId="0" xfId="0" applyNumberFormat="1" applyFont="1" applyFill="1" applyAlignment="1" applyProtection="1">
      <alignment horizontal="left" vertical="center"/>
      <protection locked="0"/>
    </xf>
    <xf numFmtId="49" fontId="2" fillId="0" borderId="0" xfId="0" applyNumberFormat="1" applyFont="1" applyAlignment="1" applyProtection="1">
      <alignment horizontal="left" vertical="center"/>
    </xf>
    <xf numFmtId="1" fontId="0" fillId="0" borderId="0" xfId="0" applyNumberFormat="1"/>
    <xf numFmtId="49" fontId="1" fillId="2" borderId="0" xfId="0" applyNumberFormat="1" applyFont="1" applyFill="1" applyAlignment="1">
      <alignment horizontal="left" vertical="center"/>
    </xf>
    <xf numFmtId="49" fontId="2" fillId="3" borderId="0" xfId="0" applyNumberFormat="1" applyFont="1" applyFill="1" applyAlignment="1">
      <alignment vertical="center" wrapText="1"/>
    </xf>
    <xf numFmtId="49" fontId="3" fillId="0" borderId="0" xfId="0" applyNumberFormat="1" applyFont="1" applyAlignment="1">
      <alignment vertical="center"/>
    </xf>
    <xf numFmtId="1" fontId="4" fillId="4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2">
    <dxf>
      <font>
        <color rgb="FF991B1B"/>
      </font>
      <fill>
        <patternFill patternType="solid">
          <fgColor rgb="FFFDE8E7"/>
          <bgColor rgb="FFFDE8E7"/>
        </patternFill>
      </fill>
    </dxf>
    <dxf>
      <font>
        <color rgb="FF116149"/>
      </font>
      <fill>
        <patternFill patternType="solid">
          <fgColor rgb="FFE6F4EA"/>
          <bgColor rgb="FFE6F4E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_subscription_tracker_subscriptions" displayName="T_subscription_tracker_subscriptions" ref="A4:I104" totalsRowShown="1" headerRowCount="1">
  <autoFilter ref="A4:I104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</autoFilter>
  <tableColumns count="9">
    <tableColumn id="1" name="Name" totalsRowLabel="Total"/>
    <tableColumn id="2" name="Provider" totalsRowFunction="none"/>
    <tableColumn id="3" name="Category" totalsRowFunction="none"/>
    <tableColumn id="4" name="Amount" totalsRowFunction="none"/>
    <tableColumn id="5" name="Frequency" totalsRowFunction="none"/>
    <tableColumn id="6" name="Cost" totalsRowFunction="none"/>
    <tableColumn id="7" name="Due date" totalsRowFunction="none"/>
    <tableColumn id="8" name="Status" totalsRowFunction="none"/>
    <tableColumn id="9" name="Remaining" totalsRowFunction="n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_subscription_tracker_categories" displayName="T_subscription_tracker_categories" ref="A4:C44" totalsRowShown="1" headerRowCount="1">
  <autoFilter ref="A4:C44">
    <filterColumn colId="0" hiddenButton="0"/>
    <filterColumn colId="1" hiddenButton="0"/>
    <filterColumn colId="2" hiddenButton="0"/>
  </autoFilter>
  <tableColumns count="3">
    <tableColumn id="1" name="Category" totalsRowLabel="Total"/>
    <tableColumn id="2" name="Type" totalsRowFunction="none"/>
    <tableColumn id="3" name="Budgeted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65600"/>
    <pageSetUpPr fitToPage="1"/>
  </sheetPr>
  <dimension ref="A1:B7"/>
  <sheetViews>
    <sheetView workbookViewId="0" showGridLines="0"/>
  </sheetViews>
  <sheetFormatPr defaultRowHeight="20" outlineLevelRow="0" outlineLevelCol="0" x14ac:dyDescent="55" customHeight="1"/>
  <cols>
    <col min="1" max="1" width="28" style="1" customWidth="1"/>
    <col min="2" max="2" width="18" style="2" customWidth="1"/>
  </cols>
  <sheetData>
    <row r="1" ht="34" customHeight="1" spans="1:2" x14ac:dyDescent="0.25">
      <c r="A1" s="3" t="s">
        <v>0</v>
      </c>
      <c r="B1" s="3"/>
    </row>
    <row r="2" ht="30" customHeight="1" spans="1:2" x14ac:dyDescent="0.25">
      <c r="A2" s="4" t="s">
        <v>1</v>
      </c>
      <c r="B2" s="4"/>
    </row>
    <row r="3" ht="22" customHeight="1" spans="1:2" x14ac:dyDescent="0.25">
      <c r="A3" s="5" t="s">
        <v>2</v>
      </c>
      <c r="B3" s="5"/>
    </row>
    <row r="4" ht="26" customHeight="1" spans="1:2" x14ac:dyDescent="0.25">
      <c r="A4" s="6" t="s">
        <v>3</v>
      </c>
      <c r="B4" s="7" t="s">
        <v>4</v>
      </c>
    </row>
    <row r="5" spans="1:2" x14ac:dyDescent="0.25">
      <c r="A5" s="8" t="s">
        <v>5</v>
      </c>
      <c r="B5" s="9">
        <f>COUNTIF('Subscriptions'!$H$5:$H$104,"ACTIVE")</f>
        <v>0</v>
      </c>
    </row>
    <row r="6" spans="1:2" x14ac:dyDescent="0.25">
      <c r="A6" s="8" t="s">
        <v>6</v>
      </c>
      <c r="B6" s="9">
        <f>SUMIFS('Subscriptions'!$F$5:$F$104,'Subscriptions'!$H$5:$H$104,"ACTIVE")</f>
        <v>0</v>
      </c>
    </row>
    <row r="7" spans="1:2" x14ac:dyDescent="0.25">
      <c r="A7" s="8" t="s">
        <v>7</v>
      </c>
      <c r="B7" s="9">
        <f>SUM('Subscriptions'!$I$5:$I$104)</f>
        <v>0</v>
      </c>
    </row>
  </sheetData>
  <sheetProtection sheet="1" autoFilter="0" algorithmName="SHA-512" hashValue="EkNTLCnzillKCACst7pqHJ4OHmNrTZhAB7ChOkNpwJhuLtlzf2AMtkC9b8jL7WTsBVPi9VTwxahyew5bSiHePw==" saltValue="Tm0mXbM8JSUJZXWXRUYYDQ==" spinCount="1000"/>
  <mergeCells count="3">
    <mergeCell ref="A1:B1"/>
    <mergeCell ref="A2:B2"/>
    <mergeCell ref="A3:B3"/>
  </mergeCells>
  <printOptions horizontalCentered="1"/>
  <pageMargins left="0.35" right="0.35" top="0.55" bottom="0.55" header="0.2" footer="0.2"/>
  <pageSetup paperSize="9" orientation="landscape" fitToWidth="1" fitToHeight="0"/>
  <headerFooter>
    <oddFooter>&amp;LNumberNinjaTees&amp;C&amp;F&amp;RPage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65600"/>
    <pageSetUpPr fitToPage="1"/>
  </sheetPr>
  <dimension ref="A1:I104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20" outlineLevelRow="0" outlineLevelCol="0" x14ac:dyDescent="55" customHeight="1"/>
  <cols>
    <col min="1" max="1" width="24" style="1" customWidth="1"/>
    <col min="2" max="2" width="22" style="1" customWidth="1"/>
    <col min="3" max="3" width="20" style="1" customWidth="1"/>
    <col min="4" max="4" width="16" style="2" customWidth="1"/>
    <col min="5" max="5" width="15" style="1" customWidth="1"/>
    <col min="6" max="6" width="16" style="2" customWidth="1"/>
    <col min="7" max="7" width="16" style="10" customWidth="1"/>
    <col min="8" max="8" width="16" style="1" customWidth="1"/>
    <col min="9" max="9" width="18" style="2" customWidth="1"/>
  </cols>
  <sheetData>
    <row r="1" ht="34" customHeight="1" spans="1:9" x14ac:dyDescent="0.25">
      <c r="A1" s="3" t="s">
        <v>0</v>
      </c>
      <c r="B1" s="3"/>
      <c r="C1" s="3"/>
      <c r="D1" s="3"/>
      <c r="E1" s="3"/>
      <c r="F1" s="3"/>
      <c r="G1" s="3"/>
      <c r="H1" s="3"/>
      <c r="I1" s="3"/>
    </row>
    <row r="2" ht="30" customHeight="1" spans="1:9" x14ac:dyDescent="0.25">
      <c r="A2" s="4" t="s">
        <v>1</v>
      </c>
      <c r="B2" s="4"/>
      <c r="C2" s="4"/>
      <c r="D2" s="4"/>
      <c r="E2" s="4"/>
      <c r="F2" s="4"/>
      <c r="G2" s="4"/>
      <c r="H2" s="4"/>
      <c r="I2" s="4"/>
    </row>
    <row r="3" ht="22" customHeight="1" spans="1:9" x14ac:dyDescent="0.25">
      <c r="A3" s="5" t="s">
        <v>2</v>
      </c>
      <c r="B3" s="5"/>
      <c r="C3" s="5"/>
      <c r="D3" s="5"/>
      <c r="E3" s="5"/>
      <c r="F3" s="5"/>
      <c r="G3" s="5"/>
      <c r="H3" s="5"/>
      <c r="I3" s="5"/>
    </row>
    <row r="4" ht="26" customHeight="1" spans="1:9" x14ac:dyDescent="0.25">
      <c r="A4" s="6" t="s">
        <v>8</v>
      </c>
      <c r="B4" s="6" t="s">
        <v>9</v>
      </c>
      <c r="C4" s="6" t="s">
        <v>10</v>
      </c>
      <c r="D4" s="7" t="s">
        <v>11</v>
      </c>
      <c r="E4" s="6" t="s">
        <v>12</v>
      </c>
      <c r="F4" s="7" t="s">
        <v>13</v>
      </c>
      <c r="G4" s="11" t="s">
        <v>14</v>
      </c>
      <c r="H4" s="6" t="s">
        <v>15</v>
      </c>
      <c r="I4" s="7" t="s">
        <v>16</v>
      </c>
    </row>
    <row r="5" ht="20" customHeight="1" spans="1:9" x14ac:dyDescent="0.25">
      <c r="A5" s="12" t="s">
        <v>17</v>
      </c>
      <c r="B5" s="12" t="s">
        <v>18</v>
      </c>
      <c r="C5" s="12" t="s">
        <v>19</v>
      </c>
      <c r="D5" s="13">
        <v>12.99</v>
      </c>
      <c r="E5" s="12" t="s">
        <v>20</v>
      </c>
      <c r="F5" s="14">
        <f>IF(D5="","",D5*IF(E5="WEEKLY",52,IF(E5="BIWEEKLY",26,IF(E5="QUARTERLY",4,IF(E5="SEMI_ANNUAL",2,IF(E5="ANNUAL",1,12))))))</f>
        <v>0</v>
      </c>
      <c r="G5" s="15">
        <v>46246.5</v>
      </c>
      <c r="H5" s="12" t="s">
        <v>21</v>
      </c>
      <c r="I5" s="14">
        <f>IF(H5="CANCEL_CANDIDATE",F5,0)</f>
        <v>0</v>
      </c>
    </row>
    <row r="6" ht="20" customHeight="1" spans="1:9" x14ac:dyDescent="0.25">
      <c r="A6" s="12" t="s">
        <v>22</v>
      </c>
      <c r="B6" s="12" t="s">
        <v>23</v>
      </c>
      <c r="C6" s="12" t="s">
        <v>24</v>
      </c>
      <c r="D6" s="13">
        <v>2.99</v>
      </c>
      <c r="E6" s="12" t="s">
        <v>20</v>
      </c>
      <c r="F6" s="14">
        <f>IF(D6="","",D6*IF(E6="WEEKLY",52,IF(E6="BIWEEKLY",26,IF(E6="QUARTERLY",4,IF(E6="SEMI_ANNUAL",2,IF(E6="ANNUAL",1,12))))))</f>
        <v>0</v>
      </c>
      <c r="G6" s="15">
        <v>46252.5</v>
      </c>
      <c r="H6" s="12" t="s">
        <v>21</v>
      </c>
      <c r="I6" s="14">
        <f>IF(H6="CANCEL_CANDIDATE",F6,0)</f>
        <v>0</v>
      </c>
    </row>
    <row r="7" ht="20" customHeight="1" spans="1:9" x14ac:dyDescent="0.25">
      <c r="A7" s="12" t="s">
        <v>25</v>
      </c>
      <c r="B7" s="12" t="s">
        <v>26</v>
      </c>
      <c r="C7" s="12" t="s">
        <v>27</v>
      </c>
      <c r="D7" s="13">
        <v>59.99</v>
      </c>
      <c r="E7" s="12" t="s">
        <v>28</v>
      </c>
      <c r="F7" s="14">
        <f>IF(D7="","",D7*IF(E7="WEEKLY",52,IF(E7="BIWEEKLY",26,IF(E7="QUARTERLY",4,IF(E7="SEMI_ANNUAL",2,IF(E7="ANNUAL",1,12))))))</f>
        <v>0</v>
      </c>
      <c r="G7" s="15">
        <v>46328.5</v>
      </c>
      <c r="H7" s="12" t="s">
        <v>29</v>
      </c>
      <c r="I7" s="14">
        <f>IF(H7="CANCEL_CANDIDATE",F7,0)</f>
        <v>0</v>
      </c>
    </row>
    <row r="8" ht="20" customHeight="1" spans="1:9" x14ac:dyDescent="0.25">
      <c r="A8" s="12" t="s">
        <v>30</v>
      </c>
      <c r="B8" s="12" t="s">
        <v>31</v>
      </c>
      <c r="C8" s="12" t="s">
        <v>19</v>
      </c>
      <c r="D8" s="13">
        <v>10.99</v>
      </c>
      <c r="E8" s="12" t="s">
        <v>20</v>
      </c>
      <c r="F8" s="14">
        <f>IF(D8="","",D8*IF(E8="WEEKLY",52,IF(E8="BIWEEKLY",26,IF(E8="QUARTERLY",4,IF(E8="SEMI_ANNUAL",2,IF(E8="ANNUAL",1,12))))))</f>
        <v>0</v>
      </c>
      <c r="G8" s="15">
        <v>46258.5</v>
      </c>
      <c r="H8" s="12" t="s">
        <v>21</v>
      </c>
      <c r="I8" s="14">
        <f>IF(H8="CANCEL_CANDIDATE",F8,0)</f>
        <v>0</v>
      </c>
    </row>
    <row r="9" ht="20" customHeight="1" spans="1:9" x14ac:dyDescent="0.25">
      <c r="A9" s="12" t="s">
        <v>32</v>
      </c>
      <c r="B9" s="12" t="s">
        <v>33</v>
      </c>
      <c r="C9" s="12" t="s">
        <v>34</v>
      </c>
      <c r="D9" s="13">
        <v>8.5</v>
      </c>
      <c r="E9" s="12" t="s">
        <v>20</v>
      </c>
      <c r="F9" s="14">
        <f>IF(D9="","",D9*IF(E9="WEEKLY",52,IF(E9="BIWEEKLY",26,IF(E9="QUARTERLY",4,IF(E9="SEMI_ANNUAL",2,IF(E9="ANNUAL",1,12))))))</f>
        <v>0</v>
      </c>
      <c r="G9" s="15">
        <v>46262.5</v>
      </c>
      <c r="H9" s="12" t="s">
        <v>35</v>
      </c>
      <c r="I9" s="14">
        <f>IF(H9="CANCEL_CANDIDATE",F9,0)</f>
        <v>0</v>
      </c>
    </row>
    <row r="10" ht="20" customHeight="1" spans="1:9" x14ac:dyDescent="0.25">
      <c r="A10" s="12"/>
      <c r="B10" s="12"/>
      <c r="C10" s="12"/>
      <c r="D10" s="13"/>
      <c r="E10" s="12"/>
      <c r="F10" s="14">
        <f>IF(D10="","",D10*IF(E10="WEEKLY",52,IF(E10="BIWEEKLY",26,IF(E10="QUARTERLY",4,IF(E10="SEMI_ANNUAL",2,IF(E10="ANNUAL",1,12))))))</f>
        <v>0</v>
      </c>
      <c r="G10" s="15"/>
      <c r="H10" s="12"/>
      <c r="I10" s="14">
        <f>IF(H10="CANCEL_CANDIDATE",F10,0)</f>
        <v>0</v>
      </c>
    </row>
    <row r="11" ht="20" customHeight="1" spans="1:9" x14ac:dyDescent="0.25">
      <c r="A11" s="12"/>
      <c r="B11" s="12"/>
      <c r="C11" s="12"/>
      <c r="D11" s="13"/>
      <c r="E11" s="12"/>
      <c r="F11" s="14">
        <f>IF(D11="","",D11*IF(E11="WEEKLY",52,IF(E11="BIWEEKLY",26,IF(E11="QUARTERLY",4,IF(E11="SEMI_ANNUAL",2,IF(E11="ANNUAL",1,12))))))</f>
        <v>0</v>
      </c>
      <c r="G11" s="15"/>
      <c r="H11" s="12"/>
      <c r="I11" s="14">
        <f>IF(H11="CANCEL_CANDIDATE",F11,0)</f>
        <v>0</v>
      </c>
    </row>
    <row r="12" ht="20" customHeight="1" spans="1:9" x14ac:dyDescent="0.25">
      <c r="A12" s="12"/>
      <c r="B12" s="12"/>
      <c r="C12" s="12"/>
      <c r="D12" s="13"/>
      <c r="E12" s="12"/>
      <c r="F12" s="14">
        <f>IF(D12="","",D12*IF(E12="WEEKLY",52,IF(E12="BIWEEKLY",26,IF(E12="QUARTERLY",4,IF(E12="SEMI_ANNUAL",2,IF(E12="ANNUAL",1,12))))))</f>
        <v>0</v>
      </c>
      <c r="G12" s="15"/>
      <c r="H12" s="12"/>
      <c r="I12" s="14">
        <f>IF(H12="CANCEL_CANDIDATE",F12,0)</f>
        <v>0</v>
      </c>
    </row>
    <row r="13" ht="20" customHeight="1" spans="1:9" x14ac:dyDescent="0.25">
      <c r="A13" s="12"/>
      <c r="B13" s="12"/>
      <c r="C13" s="12"/>
      <c r="D13" s="13"/>
      <c r="E13" s="12"/>
      <c r="F13" s="14">
        <f>IF(D13="","",D13*IF(E13="WEEKLY",52,IF(E13="BIWEEKLY",26,IF(E13="QUARTERLY",4,IF(E13="SEMI_ANNUAL",2,IF(E13="ANNUAL",1,12))))))</f>
        <v>0</v>
      </c>
      <c r="G13" s="15"/>
      <c r="H13" s="12"/>
      <c r="I13" s="14">
        <f>IF(H13="CANCEL_CANDIDATE",F13,0)</f>
        <v>0</v>
      </c>
    </row>
    <row r="14" ht="20" customHeight="1" spans="1:9" x14ac:dyDescent="0.25">
      <c r="A14" s="12"/>
      <c r="B14" s="12"/>
      <c r="C14" s="12"/>
      <c r="D14" s="13"/>
      <c r="E14" s="12"/>
      <c r="F14" s="14">
        <f>IF(D14="","",D14*IF(E14="WEEKLY",52,IF(E14="BIWEEKLY",26,IF(E14="QUARTERLY",4,IF(E14="SEMI_ANNUAL",2,IF(E14="ANNUAL",1,12))))))</f>
        <v>0</v>
      </c>
      <c r="G14" s="15"/>
      <c r="H14" s="12"/>
      <c r="I14" s="14">
        <f>IF(H14="CANCEL_CANDIDATE",F14,0)</f>
        <v>0</v>
      </c>
    </row>
    <row r="15" ht="20" customHeight="1" spans="1:9" x14ac:dyDescent="0.25">
      <c r="A15" s="12"/>
      <c r="B15" s="12"/>
      <c r="C15" s="12"/>
      <c r="D15" s="13"/>
      <c r="E15" s="12"/>
      <c r="F15" s="14">
        <f>IF(D15="","",D15*IF(E15="WEEKLY",52,IF(E15="BIWEEKLY",26,IF(E15="QUARTERLY",4,IF(E15="SEMI_ANNUAL",2,IF(E15="ANNUAL",1,12))))))</f>
        <v>0</v>
      </c>
      <c r="G15" s="15"/>
      <c r="H15" s="12"/>
      <c r="I15" s="14">
        <f>IF(H15="CANCEL_CANDIDATE",F15,0)</f>
        <v>0</v>
      </c>
    </row>
    <row r="16" ht="20" customHeight="1" spans="1:9" x14ac:dyDescent="0.25">
      <c r="A16" s="12"/>
      <c r="B16" s="12"/>
      <c r="C16" s="12"/>
      <c r="D16" s="13"/>
      <c r="E16" s="12"/>
      <c r="F16" s="14">
        <f>IF(D16="","",D16*IF(E16="WEEKLY",52,IF(E16="BIWEEKLY",26,IF(E16="QUARTERLY",4,IF(E16="SEMI_ANNUAL",2,IF(E16="ANNUAL",1,12))))))</f>
        <v>0</v>
      </c>
      <c r="G16" s="15"/>
      <c r="H16" s="12"/>
      <c r="I16" s="14">
        <f>IF(H16="CANCEL_CANDIDATE",F16,0)</f>
        <v>0</v>
      </c>
    </row>
    <row r="17" ht="20" customHeight="1" spans="1:9" x14ac:dyDescent="0.25">
      <c r="A17" s="12"/>
      <c r="B17" s="12"/>
      <c r="C17" s="12"/>
      <c r="D17" s="13"/>
      <c r="E17" s="12"/>
      <c r="F17" s="14">
        <f>IF(D17="","",D17*IF(E17="WEEKLY",52,IF(E17="BIWEEKLY",26,IF(E17="QUARTERLY",4,IF(E17="SEMI_ANNUAL",2,IF(E17="ANNUAL",1,12))))))</f>
        <v>0</v>
      </c>
      <c r="G17" s="15"/>
      <c r="H17" s="12"/>
      <c r="I17" s="14">
        <f>IF(H17="CANCEL_CANDIDATE",F17,0)</f>
        <v>0</v>
      </c>
    </row>
    <row r="18" ht="20" customHeight="1" spans="1:9" x14ac:dyDescent="0.25">
      <c r="A18" s="12"/>
      <c r="B18" s="12"/>
      <c r="C18" s="12"/>
      <c r="D18" s="13"/>
      <c r="E18" s="12"/>
      <c r="F18" s="14">
        <f>IF(D18="","",D18*IF(E18="WEEKLY",52,IF(E18="BIWEEKLY",26,IF(E18="QUARTERLY",4,IF(E18="SEMI_ANNUAL",2,IF(E18="ANNUAL",1,12))))))</f>
        <v>0</v>
      </c>
      <c r="G18" s="15"/>
      <c r="H18" s="12"/>
      <c r="I18" s="14">
        <f>IF(H18="CANCEL_CANDIDATE",F18,0)</f>
        <v>0</v>
      </c>
    </row>
    <row r="19" ht="20" customHeight="1" spans="1:9" x14ac:dyDescent="0.25">
      <c r="A19" s="12"/>
      <c r="B19" s="12"/>
      <c r="C19" s="12"/>
      <c r="D19" s="13"/>
      <c r="E19" s="12"/>
      <c r="F19" s="14">
        <f>IF(D19="","",D19*IF(E19="WEEKLY",52,IF(E19="BIWEEKLY",26,IF(E19="QUARTERLY",4,IF(E19="SEMI_ANNUAL",2,IF(E19="ANNUAL",1,12))))))</f>
        <v>0</v>
      </c>
      <c r="G19" s="15"/>
      <c r="H19" s="12"/>
      <c r="I19" s="14">
        <f>IF(H19="CANCEL_CANDIDATE",F19,0)</f>
        <v>0</v>
      </c>
    </row>
    <row r="20" ht="20" customHeight="1" spans="1:9" x14ac:dyDescent="0.25">
      <c r="A20" s="12"/>
      <c r="B20" s="12"/>
      <c r="C20" s="12"/>
      <c r="D20" s="13"/>
      <c r="E20" s="12"/>
      <c r="F20" s="14">
        <f>IF(D20="","",D20*IF(E20="WEEKLY",52,IF(E20="BIWEEKLY",26,IF(E20="QUARTERLY",4,IF(E20="SEMI_ANNUAL",2,IF(E20="ANNUAL",1,12))))))</f>
        <v>0</v>
      </c>
      <c r="G20" s="15"/>
      <c r="H20" s="12"/>
      <c r="I20" s="14">
        <f>IF(H20="CANCEL_CANDIDATE",F20,0)</f>
        <v>0</v>
      </c>
    </row>
    <row r="21" ht="20" customHeight="1" spans="1:9" x14ac:dyDescent="0.25">
      <c r="A21" s="12"/>
      <c r="B21" s="12"/>
      <c r="C21" s="12"/>
      <c r="D21" s="13"/>
      <c r="E21" s="12"/>
      <c r="F21" s="14">
        <f>IF(D21="","",D21*IF(E21="WEEKLY",52,IF(E21="BIWEEKLY",26,IF(E21="QUARTERLY",4,IF(E21="SEMI_ANNUAL",2,IF(E21="ANNUAL",1,12))))))</f>
        <v>0</v>
      </c>
      <c r="G21" s="15"/>
      <c r="H21" s="12"/>
      <c r="I21" s="14">
        <f>IF(H21="CANCEL_CANDIDATE",F21,0)</f>
        <v>0</v>
      </c>
    </row>
    <row r="22" ht="20" customHeight="1" spans="1:9" x14ac:dyDescent="0.25">
      <c r="A22" s="12"/>
      <c r="B22" s="12"/>
      <c r="C22" s="12"/>
      <c r="D22" s="13"/>
      <c r="E22" s="12"/>
      <c r="F22" s="14">
        <f>IF(D22="","",D22*IF(E22="WEEKLY",52,IF(E22="BIWEEKLY",26,IF(E22="QUARTERLY",4,IF(E22="SEMI_ANNUAL",2,IF(E22="ANNUAL",1,12))))))</f>
        <v>0</v>
      </c>
      <c r="G22" s="15"/>
      <c r="H22" s="12"/>
      <c r="I22" s="14">
        <f>IF(H22="CANCEL_CANDIDATE",F22,0)</f>
        <v>0</v>
      </c>
    </row>
    <row r="23" ht="20" customHeight="1" spans="1:9" x14ac:dyDescent="0.25">
      <c r="A23" s="12"/>
      <c r="B23" s="12"/>
      <c r="C23" s="12"/>
      <c r="D23" s="13"/>
      <c r="E23" s="12"/>
      <c r="F23" s="14">
        <f>IF(D23="","",D23*IF(E23="WEEKLY",52,IF(E23="BIWEEKLY",26,IF(E23="QUARTERLY",4,IF(E23="SEMI_ANNUAL",2,IF(E23="ANNUAL",1,12))))))</f>
        <v>0</v>
      </c>
      <c r="G23" s="15"/>
      <c r="H23" s="12"/>
      <c r="I23" s="14">
        <f>IF(H23="CANCEL_CANDIDATE",F23,0)</f>
        <v>0</v>
      </c>
    </row>
    <row r="24" ht="20" customHeight="1" spans="1:9" x14ac:dyDescent="0.25">
      <c r="A24" s="12"/>
      <c r="B24" s="12"/>
      <c r="C24" s="12"/>
      <c r="D24" s="13"/>
      <c r="E24" s="12"/>
      <c r="F24" s="14">
        <f>IF(D24="","",D24*IF(E24="WEEKLY",52,IF(E24="BIWEEKLY",26,IF(E24="QUARTERLY",4,IF(E24="SEMI_ANNUAL",2,IF(E24="ANNUAL",1,12))))))</f>
        <v>0</v>
      </c>
      <c r="G24" s="15"/>
      <c r="H24" s="12"/>
      <c r="I24" s="14">
        <f>IF(H24="CANCEL_CANDIDATE",F24,0)</f>
        <v>0</v>
      </c>
    </row>
    <row r="25" ht="20" customHeight="1" spans="1:9" x14ac:dyDescent="0.25">
      <c r="A25" s="12"/>
      <c r="B25" s="12"/>
      <c r="C25" s="12"/>
      <c r="D25" s="13"/>
      <c r="E25" s="12"/>
      <c r="F25" s="14">
        <f>IF(D25="","",D25*IF(E25="WEEKLY",52,IF(E25="BIWEEKLY",26,IF(E25="QUARTERLY",4,IF(E25="SEMI_ANNUAL",2,IF(E25="ANNUAL",1,12))))))</f>
        <v>0</v>
      </c>
      <c r="G25" s="15"/>
      <c r="H25" s="12"/>
      <c r="I25" s="14">
        <f>IF(H25="CANCEL_CANDIDATE",F25,0)</f>
        <v>0</v>
      </c>
    </row>
    <row r="26" ht="20" customHeight="1" spans="1:9" x14ac:dyDescent="0.25">
      <c r="A26" s="12"/>
      <c r="B26" s="12"/>
      <c r="C26" s="12"/>
      <c r="D26" s="13"/>
      <c r="E26" s="12"/>
      <c r="F26" s="14">
        <f>IF(D26="","",D26*IF(E26="WEEKLY",52,IF(E26="BIWEEKLY",26,IF(E26="QUARTERLY",4,IF(E26="SEMI_ANNUAL",2,IF(E26="ANNUAL",1,12))))))</f>
        <v>0</v>
      </c>
      <c r="G26" s="15"/>
      <c r="H26" s="12"/>
      <c r="I26" s="14">
        <f>IF(H26="CANCEL_CANDIDATE",F26,0)</f>
        <v>0</v>
      </c>
    </row>
    <row r="27" ht="20" customHeight="1" spans="1:9" x14ac:dyDescent="0.25">
      <c r="A27" s="12"/>
      <c r="B27" s="12"/>
      <c r="C27" s="12"/>
      <c r="D27" s="13"/>
      <c r="E27" s="12"/>
      <c r="F27" s="14">
        <f>IF(D27="","",D27*IF(E27="WEEKLY",52,IF(E27="BIWEEKLY",26,IF(E27="QUARTERLY",4,IF(E27="SEMI_ANNUAL",2,IF(E27="ANNUAL",1,12))))))</f>
        <v>0</v>
      </c>
      <c r="G27" s="15"/>
      <c r="H27" s="12"/>
      <c r="I27" s="14">
        <f>IF(H27="CANCEL_CANDIDATE",F27,0)</f>
        <v>0</v>
      </c>
    </row>
    <row r="28" ht="20" customHeight="1" spans="1:9" x14ac:dyDescent="0.25">
      <c r="A28" s="12"/>
      <c r="B28" s="12"/>
      <c r="C28" s="12"/>
      <c r="D28" s="13"/>
      <c r="E28" s="12"/>
      <c r="F28" s="14">
        <f>IF(D28="","",D28*IF(E28="WEEKLY",52,IF(E28="BIWEEKLY",26,IF(E28="QUARTERLY",4,IF(E28="SEMI_ANNUAL",2,IF(E28="ANNUAL",1,12))))))</f>
        <v>0</v>
      </c>
      <c r="G28" s="15"/>
      <c r="H28" s="12"/>
      <c r="I28" s="14">
        <f>IF(H28="CANCEL_CANDIDATE",F28,0)</f>
        <v>0</v>
      </c>
    </row>
    <row r="29" ht="20" customHeight="1" spans="1:9" x14ac:dyDescent="0.25">
      <c r="A29" s="12"/>
      <c r="B29" s="12"/>
      <c r="C29" s="12"/>
      <c r="D29" s="13"/>
      <c r="E29" s="12"/>
      <c r="F29" s="14">
        <f>IF(D29="","",D29*IF(E29="WEEKLY",52,IF(E29="BIWEEKLY",26,IF(E29="QUARTERLY",4,IF(E29="SEMI_ANNUAL",2,IF(E29="ANNUAL",1,12))))))</f>
        <v>0</v>
      </c>
      <c r="G29" s="15"/>
      <c r="H29" s="12"/>
      <c r="I29" s="14">
        <f>IF(H29="CANCEL_CANDIDATE",F29,0)</f>
        <v>0</v>
      </c>
    </row>
    <row r="30" ht="20" customHeight="1" spans="1:9" x14ac:dyDescent="0.25">
      <c r="A30" s="12"/>
      <c r="B30" s="12"/>
      <c r="C30" s="12"/>
      <c r="D30" s="13"/>
      <c r="E30" s="12"/>
      <c r="F30" s="14">
        <f>IF(D30="","",D30*IF(E30="WEEKLY",52,IF(E30="BIWEEKLY",26,IF(E30="QUARTERLY",4,IF(E30="SEMI_ANNUAL",2,IF(E30="ANNUAL",1,12))))))</f>
        <v>0</v>
      </c>
      <c r="G30" s="15"/>
      <c r="H30" s="12"/>
      <c r="I30" s="14">
        <f>IF(H30="CANCEL_CANDIDATE",F30,0)</f>
        <v>0</v>
      </c>
    </row>
    <row r="31" ht="20" customHeight="1" spans="1:9" x14ac:dyDescent="0.25">
      <c r="A31" s="12"/>
      <c r="B31" s="12"/>
      <c r="C31" s="12"/>
      <c r="D31" s="13"/>
      <c r="E31" s="12"/>
      <c r="F31" s="14">
        <f>IF(D31="","",D31*IF(E31="WEEKLY",52,IF(E31="BIWEEKLY",26,IF(E31="QUARTERLY",4,IF(E31="SEMI_ANNUAL",2,IF(E31="ANNUAL",1,12))))))</f>
        <v>0</v>
      </c>
      <c r="G31" s="15"/>
      <c r="H31" s="12"/>
      <c r="I31" s="14">
        <f>IF(H31="CANCEL_CANDIDATE",F31,0)</f>
        <v>0</v>
      </c>
    </row>
    <row r="32" ht="20" customHeight="1" spans="1:9" x14ac:dyDescent="0.25">
      <c r="A32" s="12"/>
      <c r="B32" s="12"/>
      <c r="C32" s="12"/>
      <c r="D32" s="13"/>
      <c r="E32" s="12"/>
      <c r="F32" s="14">
        <f>IF(D32="","",D32*IF(E32="WEEKLY",52,IF(E32="BIWEEKLY",26,IF(E32="QUARTERLY",4,IF(E32="SEMI_ANNUAL",2,IF(E32="ANNUAL",1,12))))))</f>
        <v>0</v>
      </c>
      <c r="G32" s="15"/>
      <c r="H32" s="12"/>
      <c r="I32" s="14">
        <f>IF(H32="CANCEL_CANDIDATE",F32,0)</f>
        <v>0</v>
      </c>
    </row>
    <row r="33" ht="20" customHeight="1" spans="1:9" x14ac:dyDescent="0.25">
      <c r="A33" s="12"/>
      <c r="B33" s="12"/>
      <c r="C33" s="12"/>
      <c r="D33" s="13"/>
      <c r="E33" s="12"/>
      <c r="F33" s="14">
        <f>IF(D33="","",D33*IF(E33="WEEKLY",52,IF(E33="BIWEEKLY",26,IF(E33="QUARTERLY",4,IF(E33="SEMI_ANNUAL",2,IF(E33="ANNUAL",1,12))))))</f>
        <v>0</v>
      </c>
      <c r="G33" s="15"/>
      <c r="H33" s="12"/>
      <c r="I33" s="14">
        <f>IF(H33="CANCEL_CANDIDATE",F33,0)</f>
        <v>0</v>
      </c>
    </row>
    <row r="34" ht="20" customHeight="1" spans="1:9" x14ac:dyDescent="0.25">
      <c r="A34" s="12"/>
      <c r="B34" s="12"/>
      <c r="C34" s="12"/>
      <c r="D34" s="13"/>
      <c r="E34" s="12"/>
      <c r="F34" s="14">
        <f>IF(D34="","",D34*IF(E34="WEEKLY",52,IF(E34="BIWEEKLY",26,IF(E34="QUARTERLY",4,IF(E34="SEMI_ANNUAL",2,IF(E34="ANNUAL",1,12))))))</f>
        <v>0</v>
      </c>
      <c r="G34" s="15"/>
      <c r="H34" s="12"/>
      <c r="I34" s="14">
        <f>IF(H34="CANCEL_CANDIDATE",F34,0)</f>
        <v>0</v>
      </c>
    </row>
    <row r="35" ht="20" customHeight="1" spans="1:9" x14ac:dyDescent="0.25">
      <c r="A35" s="12"/>
      <c r="B35" s="12"/>
      <c r="C35" s="12"/>
      <c r="D35" s="13"/>
      <c r="E35" s="12"/>
      <c r="F35" s="14">
        <f>IF(D35="","",D35*IF(E35="WEEKLY",52,IF(E35="BIWEEKLY",26,IF(E35="QUARTERLY",4,IF(E35="SEMI_ANNUAL",2,IF(E35="ANNUAL",1,12))))))</f>
        <v>0</v>
      </c>
      <c r="G35" s="15"/>
      <c r="H35" s="12"/>
      <c r="I35" s="14">
        <f>IF(H35="CANCEL_CANDIDATE",F35,0)</f>
        <v>0</v>
      </c>
    </row>
    <row r="36" ht="20" customHeight="1" spans="1:9" x14ac:dyDescent="0.25">
      <c r="A36" s="12"/>
      <c r="B36" s="12"/>
      <c r="C36" s="12"/>
      <c r="D36" s="13"/>
      <c r="E36" s="12"/>
      <c r="F36" s="14">
        <f>IF(D36="","",D36*IF(E36="WEEKLY",52,IF(E36="BIWEEKLY",26,IF(E36="QUARTERLY",4,IF(E36="SEMI_ANNUAL",2,IF(E36="ANNUAL",1,12))))))</f>
        <v>0</v>
      </c>
      <c r="G36" s="15"/>
      <c r="H36" s="12"/>
      <c r="I36" s="14">
        <f>IF(H36="CANCEL_CANDIDATE",F36,0)</f>
        <v>0</v>
      </c>
    </row>
    <row r="37" ht="20" customHeight="1" spans="1:9" x14ac:dyDescent="0.25">
      <c r="A37" s="12"/>
      <c r="B37" s="12"/>
      <c r="C37" s="12"/>
      <c r="D37" s="13"/>
      <c r="E37" s="12"/>
      <c r="F37" s="14">
        <f>IF(D37="","",D37*IF(E37="WEEKLY",52,IF(E37="BIWEEKLY",26,IF(E37="QUARTERLY",4,IF(E37="SEMI_ANNUAL",2,IF(E37="ANNUAL",1,12))))))</f>
        <v>0</v>
      </c>
      <c r="G37" s="15"/>
      <c r="H37" s="12"/>
      <c r="I37" s="14">
        <f>IF(H37="CANCEL_CANDIDATE",F37,0)</f>
        <v>0</v>
      </c>
    </row>
    <row r="38" ht="20" customHeight="1" spans="1:9" x14ac:dyDescent="0.25">
      <c r="A38" s="12"/>
      <c r="B38" s="12"/>
      <c r="C38" s="12"/>
      <c r="D38" s="13"/>
      <c r="E38" s="12"/>
      <c r="F38" s="14">
        <f>IF(D38="","",D38*IF(E38="WEEKLY",52,IF(E38="BIWEEKLY",26,IF(E38="QUARTERLY",4,IF(E38="SEMI_ANNUAL",2,IF(E38="ANNUAL",1,12))))))</f>
        <v>0</v>
      </c>
      <c r="G38" s="15"/>
      <c r="H38" s="12"/>
      <c r="I38" s="14">
        <f>IF(H38="CANCEL_CANDIDATE",F38,0)</f>
        <v>0</v>
      </c>
    </row>
    <row r="39" ht="20" customHeight="1" spans="1:9" x14ac:dyDescent="0.25">
      <c r="A39" s="12"/>
      <c r="B39" s="12"/>
      <c r="C39" s="12"/>
      <c r="D39" s="13"/>
      <c r="E39" s="12"/>
      <c r="F39" s="14">
        <f>IF(D39="","",D39*IF(E39="WEEKLY",52,IF(E39="BIWEEKLY",26,IF(E39="QUARTERLY",4,IF(E39="SEMI_ANNUAL",2,IF(E39="ANNUAL",1,12))))))</f>
        <v>0</v>
      </c>
      <c r="G39" s="15"/>
      <c r="H39" s="12"/>
      <c r="I39" s="14">
        <f>IF(H39="CANCEL_CANDIDATE",F39,0)</f>
        <v>0</v>
      </c>
    </row>
    <row r="40" ht="20" customHeight="1" spans="1:9" x14ac:dyDescent="0.25">
      <c r="A40" s="12"/>
      <c r="B40" s="12"/>
      <c r="C40" s="12"/>
      <c r="D40" s="13"/>
      <c r="E40" s="12"/>
      <c r="F40" s="14">
        <f>IF(D40="","",D40*IF(E40="WEEKLY",52,IF(E40="BIWEEKLY",26,IF(E40="QUARTERLY",4,IF(E40="SEMI_ANNUAL",2,IF(E40="ANNUAL",1,12))))))</f>
        <v>0</v>
      </c>
      <c r="G40" s="15"/>
      <c r="H40" s="12"/>
      <c r="I40" s="14">
        <f>IF(H40="CANCEL_CANDIDATE",F40,0)</f>
        <v>0</v>
      </c>
    </row>
    <row r="41" ht="20" customHeight="1" spans="1:9" x14ac:dyDescent="0.25">
      <c r="A41" s="12"/>
      <c r="B41" s="12"/>
      <c r="C41" s="12"/>
      <c r="D41" s="13"/>
      <c r="E41" s="12"/>
      <c r="F41" s="14">
        <f>IF(D41="","",D41*IF(E41="WEEKLY",52,IF(E41="BIWEEKLY",26,IF(E41="QUARTERLY",4,IF(E41="SEMI_ANNUAL",2,IF(E41="ANNUAL",1,12))))))</f>
        <v>0</v>
      </c>
      <c r="G41" s="15"/>
      <c r="H41" s="12"/>
      <c r="I41" s="14">
        <f>IF(H41="CANCEL_CANDIDATE",F41,0)</f>
        <v>0</v>
      </c>
    </row>
    <row r="42" ht="20" customHeight="1" spans="1:9" x14ac:dyDescent="0.25">
      <c r="A42" s="12"/>
      <c r="B42" s="12"/>
      <c r="C42" s="12"/>
      <c r="D42" s="13"/>
      <c r="E42" s="12"/>
      <c r="F42" s="14">
        <f>IF(D42="","",D42*IF(E42="WEEKLY",52,IF(E42="BIWEEKLY",26,IF(E42="QUARTERLY",4,IF(E42="SEMI_ANNUAL",2,IF(E42="ANNUAL",1,12))))))</f>
        <v>0</v>
      </c>
      <c r="G42" s="15"/>
      <c r="H42" s="12"/>
      <c r="I42" s="14">
        <f>IF(H42="CANCEL_CANDIDATE",F42,0)</f>
        <v>0</v>
      </c>
    </row>
    <row r="43" ht="20" customHeight="1" spans="1:9" x14ac:dyDescent="0.25">
      <c r="A43" s="12"/>
      <c r="B43" s="12"/>
      <c r="C43" s="12"/>
      <c r="D43" s="13"/>
      <c r="E43" s="12"/>
      <c r="F43" s="14">
        <f>IF(D43="","",D43*IF(E43="WEEKLY",52,IF(E43="BIWEEKLY",26,IF(E43="QUARTERLY",4,IF(E43="SEMI_ANNUAL",2,IF(E43="ANNUAL",1,12))))))</f>
        <v>0</v>
      </c>
      <c r="G43" s="15"/>
      <c r="H43" s="12"/>
      <c r="I43" s="14">
        <f>IF(H43="CANCEL_CANDIDATE",F43,0)</f>
        <v>0</v>
      </c>
    </row>
    <row r="44" ht="20" customHeight="1" spans="1:9" x14ac:dyDescent="0.25">
      <c r="A44" s="12"/>
      <c r="B44" s="12"/>
      <c r="C44" s="12"/>
      <c r="D44" s="13"/>
      <c r="E44" s="12"/>
      <c r="F44" s="14">
        <f>IF(D44="","",D44*IF(E44="WEEKLY",52,IF(E44="BIWEEKLY",26,IF(E44="QUARTERLY",4,IF(E44="SEMI_ANNUAL",2,IF(E44="ANNUAL",1,12))))))</f>
        <v>0</v>
      </c>
      <c r="G44" s="15"/>
      <c r="H44" s="12"/>
      <c r="I44" s="14">
        <f>IF(H44="CANCEL_CANDIDATE",F44,0)</f>
        <v>0</v>
      </c>
    </row>
    <row r="45" ht="20" customHeight="1" spans="1:9" x14ac:dyDescent="0.25">
      <c r="A45" s="12"/>
      <c r="B45" s="12"/>
      <c r="C45" s="12"/>
      <c r="D45" s="13"/>
      <c r="E45" s="12"/>
      <c r="F45" s="14">
        <f>IF(D45="","",D45*IF(E45="WEEKLY",52,IF(E45="BIWEEKLY",26,IF(E45="QUARTERLY",4,IF(E45="SEMI_ANNUAL",2,IF(E45="ANNUAL",1,12))))))</f>
        <v>0</v>
      </c>
      <c r="G45" s="15"/>
      <c r="H45" s="12"/>
      <c r="I45" s="14">
        <f>IF(H45="CANCEL_CANDIDATE",F45,0)</f>
        <v>0</v>
      </c>
    </row>
    <row r="46" ht="20" customHeight="1" spans="1:9" x14ac:dyDescent="0.25">
      <c r="A46" s="12"/>
      <c r="B46" s="12"/>
      <c r="C46" s="12"/>
      <c r="D46" s="13"/>
      <c r="E46" s="12"/>
      <c r="F46" s="14">
        <f>IF(D46="","",D46*IF(E46="WEEKLY",52,IF(E46="BIWEEKLY",26,IF(E46="QUARTERLY",4,IF(E46="SEMI_ANNUAL",2,IF(E46="ANNUAL",1,12))))))</f>
        <v>0</v>
      </c>
      <c r="G46" s="15"/>
      <c r="H46" s="12"/>
      <c r="I46" s="14">
        <f>IF(H46="CANCEL_CANDIDATE",F46,0)</f>
        <v>0</v>
      </c>
    </row>
    <row r="47" ht="20" customHeight="1" spans="1:9" x14ac:dyDescent="0.25">
      <c r="A47" s="12"/>
      <c r="B47" s="12"/>
      <c r="C47" s="12"/>
      <c r="D47" s="13"/>
      <c r="E47" s="12"/>
      <c r="F47" s="14">
        <f>IF(D47="","",D47*IF(E47="WEEKLY",52,IF(E47="BIWEEKLY",26,IF(E47="QUARTERLY",4,IF(E47="SEMI_ANNUAL",2,IF(E47="ANNUAL",1,12))))))</f>
        <v>0</v>
      </c>
      <c r="G47" s="15"/>
      <c r="H47" s="12"/>
      <c r="I47" s="14">
        <f>IF(H47="CANCEL_CANDIDATE",F47,0)</f>
        <v>0</v>
      </c>
    </row>
    <row r="48" ht="20" customHeight="1" spans="1:9" x14ac:dyDescent="0.25">
      <c r="A48" s="12"/>
      <c r="B48" s="12"/>
      <c r="C48" s="12"/>
      <c r="D48" s="13"/>
      <c r="E48" s="12"/>
      <c r="F48" s="14">
        <f>IF(D48="","",D48*IF(E48="WEEKLY",52,IF(E48="BIWEEKLY",26,IF(E48="QUARTERLY",4,IF(E48="SEMI_ANNUAL",2,IF(E48="ANNUAL",1,12))))))</f>
        <v>0</v>
      </c>
      <c r="G48" s="15"/>
      <c r="H48" s="12"/>
      <c r="I48" s="14">
        <f>IF(H48="CANCEL_CANDIDATE",F48,0)</f>
        <v>0</v>
      </c>
    </row>
    <row r="49" ht="20" customHeight="1" spans="1:9" x14ac:dyDescent="0.25">
      <c r="A49" s="12"/>
      <c r="B49" s="12"/>
      <c r="C49" s="12"/>
      <c r="D49" s="13"/>
      <c r="E49" s="12"/>
      <c r="F49" s="14">
        <f>IF(D49="","",D49*IF(E49="WEEKLY",52,IF(E49="BIWEEKLY",26,IF(E49="QUARTERLY",4,IF(E49="SEMI_ANNUAL",2,IF(E49="ANNUAL",1,12))))))</f>
        <v>0</v>
      </c>
      <c r="G49" s="15"/>
      <c r="H49" s="12"/>
      <c r="I49" s="14">
        <f>IF(H49="CANCEL_CANDIDATE",F49,0)</f>
        <v>0</v>
      </c>
    </row>
    <row r="50" ht="20" customHeight="1" spans="1:9" x14ac:dyDescent="0.25">
      <c r="A50" s="12"/>
      <c r="B50" s="12"/>
      <c r="C50" s="12"/>
      <c r="D50" s="13"/>
      <c r="E50" s="12"/>
      <c r="F50" s="14">
        <f>IF(D50="","",D50*IF(E50="WEEKLY",52,IF(E50="BIWEEKLY",26,IF(E50="QUARTERLY",4,IF(E50="SEMI_ANNUAL",2,IF(E50="ANNUAL",1,12))))))</f>
        <v>0</v>
      </c>
      <c r="G50" s="15"/>
      <c r="H50" s="12"/>
      <c r="I50" s="14">
        <f>IF(H50="CANCEL_CANDIDATE",F50,0)</f>
        <v>0</v>
      </c>
    </row>
    <row r="51" ht="20" customHeight="1" spans="1:9" x14ac:dyDescent="0.25">
      <c r="A51" s="12"/>
      <c r="B51" s="12"/>
      <c r="C51" s="12"/>
      <c r="D51" s="13"/>
      <c r="E51" s="12"/>
      <c r="F51" s="14">
        <f>IF(D51="","",D51*IF(E51="WEEKLY",52,IF(E51="BIWEEKLY",26,IF(E51="QUARTERLY",4,IF(E51="SEMI_ANNUAL",2,IF(E51="ANNUAL",1,12))))))</f>
        <v>0</v>
      </c>
      <c r="G51" s="15"/>
      <c r="H51" s="12"/>
      <c r="I51" s="14">
        <f>IF(H51="CANCEL_CANDIDATE",F51,0)</f>
        <v>0</v>
      </c>
    </row>
    <row r="52" ht="20" customHeight="1" spans="1:9" x14ac:dyDescent="0.25">
      <c r="A52" s="12"/>
      <c r="B52" s="12"/>
      <c r="C52" s="12"/>
      <c r="D52" s="13"/>
      <c r="E52" s="12"/>
      <c r="F52" s="14">
        <f>IF(D52="","",D52*IF(E52="WEEKLY",52,IF(E52="BIWEEKLY",26,IF(E52="QUARTERLY",4,IF(E52="SEMI_ANNUAL",2,IF(E52="ANNUAL",1,12))))))</f>
        <v>0</v>
      </c>
      <c r="G52" s="15"/>
      <c r="H52" s="12"/>
      <c r="I52" s="14">
        <f>IF(H52="CANCEL_CANDIDATE",F52,0)</f>
        <v>0</v>
      </c>
    </row>
    <row r="53" ht="20" customHeight="1" spans="1:9" x14ac:dyDescent="0.25">
      <c r="A53" s="12"/>
      <c r="B53" s="12"/>
      <c r="C53" s="12"/>
      <c r="D53" s="13"/>
      <c r="E53" s="12"/>
      <c r="F53" s="14">
        <f>IF(D53="","",D53*IF(E53="WEEKLY",52,IF(E53="BIWEEKLY",26,IF(E53="QUARTERLY",4,IF(E53="SEMI_ANNUAL",2,IF(E53="ANNUAL",1,12))))))</f>
        <v>0</v>
      </c>
      <c r="G53" s="15"/>
      <c r="H53" s="12"/>
      <c r="I53" s="14">
        <f>IF(H53="CANCEL_CANDIDATE",F53,0)</f>
        <v>0</v>
      </c>
    </row>
    <row r="54" ht="20" customHeight="1" spans="1:9" x14ac:dyDescent="0.25">
      <c r="A54" s="12"/>
      <c r="B54" s="12"/>
      <c r="C54" s="12"/>
      <c r="D54" s="13"/>
      <c r="E54" s="12"/>
      <c r="F54" s="14">
        <f>IF(D54="","",D54*IF(E54="WEEKLY",52,IF(E54="BIWEEKLY",26,IF(E54="QUARTERLY",4,IF(E54="SEMI_ANNUAL",2,IF(E54="ANNUAL",1,12))))))</f>
        <v>0</v>
      </c>
      <c r="G54" s="15"/>
      <c r="H54" s="12"/>
      <c r="I54" s="14">
        <f>IF(H54="CANCEL_CANDIDATE",F54,0)</f>
        <v>0</v>
      </c>
    </row>
    <row r="55" ht="20" customHeight="1" spans="1:9" x14ac:dyDescent="0.25">
      <c r="A55" s="12"/>
      <c r="B55" s="12"/>
      <c r="C55" s="12"/>
      <c r="D55" s="13"/>
      <c r="E55" s="12"/>
      <c r="F55" s="14">
        <f>IF(D55="","",D55*IF(E55="WEEKLY",52,IF(E55="BIWEEKLY",26,IF(E55="QUARTERLY",4,IF(E55="SEMI_ANNUAL",2,IF(E55="ANNUAL",1,12))))))</f>
        <v>0</v>
      </c>
      <c r="G55" s="15"/>
      <c r="H55" s="12"/>
      <c r="I55" s="14">
        <f>IF(H55="CANCEL_CANDIDATE",F55,0)</f>
        <v>0</v>
      </c>
    </row>
    <row r="56" ht="20" customHeight="1" spans="1:9" x14ac:dyDescent="0.25">
      <c r="A56" s="12"/>
      <c r="B56" s="12"/>
      <c r="C56" s="12"/>
      <c r="D56" s="13"/>
      <c r="E56" s="12"/>
      <c r="F56" s="14">
        <f>IF(D56="","",D56*IF(E56="WEEKLY",52,IF(E56="BIWEEKLY",26,IF(E56="QUARTERLY",4,IF(E56="SEMI_ANNUAL",2,IF(E56="ANNUAL",1,12))))))</f>
        <v>0</v>
      </c>
      <c r="G56" s="15"/>
      <c r="H56" s="12"/>
      <c r="I56" s="14">
        <f>IF(H56="CANCEL_CANDIDATE",F56,0)</f>
        <v>0</v>
      </c>
    </row>
    <row r="57" ht="20" customHeight="1" spans="1:9" x14ac:dyDescent="0.25">
      <c r="A57" s="12"/>
      <c r="B57" s="12"/>
      <c r="C57" s="12"/>
      <c r="D57" s="13"/>
      <c r="E57" s="12"/>
      <c r="F57" s="14">
        <f>IF(D57="","",D57*IF(E57="WEEKLY",52,IF(E57="BIWEEKLY",26,IF(E57="QUARTERLY",4,IF(E57="SEMI_ANNUAL",2,IF(E57="ANNUAL",1,12))))))</f>
        <v>0</v>
      </c>
      <c r="G57" s="15"/>
      <c r="H57" s="12"/>
      <c r="I57" s="14">
        <f>IF(H57="CANCEL_CANDIDATE",F57,0)</f>
        <v>0</v>
      </c>
    </row>
    <row r="58" ht="20" customHeight="1" spans="1:9" x14ac:dyDescent="0.25">
      <c r="A58" s="12"/>
      <c r="B58" s="12"/>
      <c r="C58" s="12"/>
      <c r="D58" s="13"/>
      <c r="E58" s="12"/>
      <c r="F58" s="14">
        <f>IF(D58="","",D58*IF(E58="WEEKLY",52,IF(E58="BIWEEKLY",26,IF(E58="QUARTERLY",4,IF(E58="SEMI_ANNUAL",2,IF(E58="ANNUAL",1,12))))))</f>
        <v>0</v>
      </c>
      <c r="G58" s="15"/>
      <c r="H58" s="12"/>
      <c r="I58" s="14">
        <f>IF(H58="CANCEL_CANDIDATE",F58,0)</f>
        <v>0</v>
      </c>
    </row>
    <row r="59" ht="20" customHeight="1" spans="1:9" x14ac:dyDescent="0.25">
      <c r="A59" s="12"/>
      <c r="B59" s="12"/>
      <c r="C59" s="12"/>
      <c r="D59" s="13"/>
      <c r="E59" s="12"/>
      <c r="F59" s="14">
        <f>IF(D59="","",D59*IF(E59="WEEKLY",52,IF(E59="BIWEEKLY",26,IF(E59="QUARTERLY",4,IF(E59="SEMI_ANNUAL",2,IF(E59="ANNUAL",1,12))))))</f>
        <v>0</v>
      </c>
      <c r="G59" s="15"/>
      <c r="H59" s="12"/>
      <c r="I59" s="14">
        <f>IF(H59="CANCEL_CANDIDATE",F59,0)</f>
        <v>0</v>
      </c>
    </row>
    <row r="60" ht="20" customHeight="1" spans="1:9" x14ac:dyDescent="0.25">
      <c r="A60" s="12"/>
      <c r="B60" s="12"/>
      <c r="C60" s="12"/>
      <c r="D60" s="13"/>
      <c r="E60" s="12"/>
      <c r="F60" s="14">
        <f>IF(D60="","",D60*IF(E60="WEEKLY",52,IF(E60="BIWEEKLY",26,IF(E60="QUARTERLY",4,IF(E60="SEMI_ANNUAL",2,IF(E60="ANNUAL",1,12))))))</f>
        <v>0</v>
      </c>
      <c r="G60" s="15"/>
      <c r="H60" s="12"/>
      <c r="I60" s="14">
        <f>IF(H60="CANCEL_CANDIDATE",F60,0)</f>
        <v>0</v>
      </c>
    </row>
    <row r="61" ht="20" customHeight="1" spans="1:9" x14ac:dyDescent="0.25">
      <c r="A61" s="12"/>
      <c r="B61" s="12"/>
      <c r="C61" s="12"/>
      <c r="D61" s="13"/>
      <c r="E61" s="12"/>
      <c r="F61" s="14">
        <f>IF(D61="","",D61*IF(E61="WEEKLY",52,IF(E61="BIWEEKLY",26,IF(E61="QUARTERLY",4,IF(E61="SEMI_ANNUAL",2,IF(E61="ANNUAL",1,12))))))</f>
        <v>0</v>
      </c>
      <c r="G61" s="15"/>
      <c r="H61" s="12"/>
      <c r="I61" s="14">
        <f>IF(H61="CANCEL_CANDIDATE",F61,0)</f>
        <v>0</v>
      </c>
    </row>
    <row r="62" ht="20" customHeight="1" spans="1:9" x14ac:dyDescent="0.25">
      <c r="A62" s="12"/>
      <c r="B62" s="12"/>
      <c r="C62" s="12"/>
      <c r="D62" s="13"/>
      <c r="E62" s="12"/>
      <c r="F62" s="14">
        <f>IF(D62="","",D62*IF(E62="WEEKLY",52,IF(E62="BIWEEKLY",26,IF(E62="QUARTERLY",4,IF(E62="SEMI_ANNUAL",2,IF(E62="ANNUAL",1,12))))))</f>
        <v>0</v>
      </c>
      <c r="G62" s="15"/>
      <c r="H62" s="12"/>
      <c r="I62" s="14">
        <f>IF(H62="CANCEL_CANDIDATE",F62,0)</f>
        <v>0</v>
      </c>
    </row>
    <row r="63" ht="20" customHeight="1" spans="1:9" x14ac:dyDescent="0.25">
      <c r="A63" s="12"/>
      <c r="B63" s="12"/>
      <c r="C63" s="12"/>
      <c r="D63" s="13"/>
      <c r="E63" s="12"/>
      <c r="F63" s="14">
        <f>IF(D63="","",D63*IF(E63="WEEKLY",52,IF(E63="BIWEEKLY",26,IF(E63="QUARTERLY",4,IF(E63="SEMI_ANNUAL",2,IF(E63="ANNUAL",1,12))))))</f>
        <v>0</v>
      </c>
      <c r="G63" s="15"/>
      <c r="H63" s="12"/>
      <c r="I63" s="14">
        <f>IF(H63="CANCEL_CANDIDATE",F63,0)</f>
        <v>0</v>
      </c>
    </row>
    <row r="64" ht="20" customHeight="1" spans="1:9" x14ac:dyDescent="0.25">
      <c r="A64" s="12"/>
      <c r="B64" s="12"/>
      <c r="C64" s="12"/>
      <c r="D64" s="13"/>
      <c r="E64" s="12"/>
      <c r="F64" s="14">
        <f>IF(D64="","",D64*IF(E64="WEEKLY",52,IF(E64="BIWEEKLY",26,IF(E64="QUARTERLY",4,IF(E64="SEMI_ANNUAL",2,IF(E64="ANNUAL",1,12))))))</f>
        <v>0</v>
      </c>
      <c r="G64" s="15"/>
      <c r="H64" s="12"/>
      <c r="I64" s="14">
        <f>IF(H64="CANCEL_CANDIDATE",F64,0)</f>
        <v>0</v>
      </c>
    </row>
    <row r="65" ht="20" customHeight="1" spans="1:9" x14ac:dyDescent="0.25">
      <c r="A65" s="12"/>
      <c r="B65" s="12"/>
      <c r="C65" s="12"/>
      <c r="D65" s="13"/>
      <c r="E65" s="12"/>
      <c r="F65" s="14">
        <f>IF(D65="","",D65*IF(E65="WEEKLY",52,IF(E65="BIWEEKLY",26,IF(E65="QUARTERLY",4,IF(E65="SEMI_ANNUAL",2,IF(E65="ANNUAL",1,12))))))</f>
        <v>0</v>
      </c>
      <c r="G65" s="15"/>
      <c r="H65" s="12"/>
      <c r="I65" s="14">
        <f>IF(H65="CANCEL_CANDIDATE",F65,0)</f>
        <v>0</v>
      </c>
    </row>
    <row r="66" ht="20" customHeight="1" spans="1:9" x14ac:dyDescent="0.25">
      <c r="A66" s="12"/>
      <c r="B66" s="12"/>
      <c r="C66" s="12"/>
      <c r="D66" s="13"/>
      <c r="E66" s="12"/>
      <c r="F66" s="14">
        <f>IF(D66="","",D66*IF(E66="WEEKLY",52,IF(E66="BIWEEKLY",26,IF(E66="QUARTERLY",4,IF(E66="SEMI_ANNUAL",2,IF(E66="ANNUAL",1,12))))))</f>
        <v>0</v>
      </c>
      <c r="G66" s="15"/>
      <c r="H66" s="12"/>
      <c r="I66" s="14">
        <f>IF(H66="CANCEL_CANDIDATE",F66,0)</f>
        <v>0</v>
      </c>
    </row>
    <row r="67" ht="20" customHeight="1" spans="1:9" x14ac:dyDescent="0.25">
      <c r="A67" s="12"/>
      <c r="B67" s="12"/>
      <c r="C67" s="12"/>
      <c r="D67" s="13"/>
      <c r="E67" s="12"/>
      <c r="F67" s="14">
        <f>IF(D67="","",D67*IF(E67="WEEKLY",52,IF(E67="BIWEEKLY",26,IF(E67="QUARTERLY",4,IF(E67="SEMI_ANNUAL",2,IF(E67="ANNUAL",1,12))))))</f>
        <v>0</v>
      </c>
      <c r="G67" s="15"/>
      <c r="H67" s="12"/>
      <c r="I67" s="14">
        <f>IF(H67="CANCEL_CANDIDATE",F67,0)</f>
        <v>0</v>
      </c>
    </row>
    <row r="68" ht="20" customHeight="1" spans="1:9" x14ac:dyDescent="0.25">
      <c r="A68" s="12"/>
      <c r="B68" s="12"/>
      <c r="C68" s="12"/>
      <c r="D68" s="13"/>
      <c r="E68" s="12"/>
      <c r="F68" s="14">
        <f>IF(D68="","",D68*IF(E68="WEEKLY",52,IF(E68="BIWEEKLY",26,IF(E68="QUARTERLY",4,IF(E68="SEMI_ANNUAL",2,IF(E68="ANNUAL",1,12))))))</f>
        <v>0</v>
      </c>
      <c r="G68" s="15"/>
      <c r="H68" s="12"/>
      <c r="I68" s="14">
        <f>IF(H68="CANCEL_CANDIDATE",F68,0)</f>
        <v>0</v>
      </c>
    </row>
    <row r="69" ht="20" customHeight="1" spans="1:9" x14ac:dyDescent="0.25">
      <c r="A69" s="12"/>
      <c r="B69" s="12"/>
      <c r="C69" s="12"/>
      <c r="D69" s="13"/>
      <c r="E69" s="12"/>
      <c r="F69" s="14">
        <f>IF(D69="","",D69*IF(E69="WEEKLY",52,IF(E69="BIWEEKLY",26,IF(E69="QUARTERLY",4,IF(E69="SEMI_ANNUAL",2,IF(E69="ANNUAL",1,12))))))</f>
        <v>0</v>
      </c>
      <c r="G69" s="15"/>
      <c r="H69" s="12"/>
      <c r="I69" s="14">
        <f>IF(H69="CANCEL_CANDIDATE",F69,0)</f>
        <v>0</v>
      </c>
    </row>
    <row r="70" ht="20" customHeight="1" spans="1:9" x14ac:dyDescent="0.25">
      <c r="A70" s="12"/>
      <c r="B70" s="12"/>
      <c r="C70" s="12"/>
      <c r="D70" s="13"/>
      <c r="E70" s="12"/>
      <c r="F70" s="14">
        <f>IF(D70="","",D70*IF(E70="WEEKLY",52,IF(E70="BIWEEKLY",26,IF(E70="QUARTERLY",4,IF(E70="SEMI_ANNUAL",2,IF(E70="ANNUAL",1,12))))))</f>
        <v>0</v>
      </c>
      <c r="G70" s="15"/>
      <c r="H70" s="12"/>
      <c r="I70" s="14">
        <f>IF(H70="CANCEL_CANDIDATE",F70,0)</f>
        <v>0</v>
      </c>
    </row>
    <row r="71" ht="20" customHeight="1" spans="1:9" x14ac:dyDescent="0.25">
      <c r="A71" s="12"/>
      <c r="B71" s="12"/>
      <c r="C71" s="12"/>
      <c r="D71" s="13"/>
      <c r="E71" s="12"/>
      <c r="F71" s="14">
        <f>IF(D71="","",D71*IF(E71="WEEKLY",52,IF(E71="BIWEEKLY",26,IF(E71="QUARTERLY",4,IF(E71="SEMI_ANNUAL",2,IF(E71="ANNUAL",1,12))))))</f>
        <v>0</v>
      </c>
      <c r="G71" s="15"/>
      <c r="H71" s="12"/>
      <c r="I71" s="14">
        <f>IF(H71="CANCEL_CANDIDATE",F71,0)</f>
        <v>0</v>
      </c>
    </row>
    <row r="72" ht="20" customHeight="1" spans="1:9" x14ac:dyDescent="0.25">
      <c r="A72" s="12"/>
      <c r="B72" s="12"/>
      <c r="C72" s="12"/>
      <c r="D72" s="13"/>
      <c r="E72" s="12"/>
      <c r="F72" s="14">
        <f>IF(D72="","",D72*IF(E72="WEEKLY",52,IF(E72="BIWEEKLY",26,IF(E72="QUARTERLY",4,IF(E72="SEMI_ANNUAL",2,IF(E72="ANNUAL",1,12))))))</f>
        <v>0</v>
      </c>
      <c r="G72" s="15"/>
      <c r="H72" s="12"/>
      <c r="I72" s="14">
        <f>IF(H72="CANCEL_CANDIDATE",F72,0)</f>
        <v>0</v>
      </c>
    </row>
    <row r="73" ht="20" customHeight="1" spans="1:9" x14ac:dyDescent="0.25">
      <c r="A73" s="12"/>
      <c r="B73" s="12"/>
      <c r="C73" s="12"/>
      <c r="D73" s="13"/>
      <c r="E73" s="12"/>
      <c r="F73" s="14">
        <f>IF(D73="","",D73*IF(E73="WEEKLY",52,IF(E73="BIWEEKLY",26,IF(E73="QUARTERLY",4,IF(E73="SEMI_ANNUAL",2,IF(E73="ANNUAL",1,12))))))</f>
        <v>0</v>
      </c>
      <c r="G73" s="15"/>
      <c r="H73" s="12"/>
      <c r="I73" s="14">
        <f>IF(H73="CANCEL_CANDIDATE",F73,0)</f>
        <v>0</v>
      </c>
    </row>
    <row r="74" ht="20" customHeight="1" spans="1:9" x14ac:dyDescent="0.25">
      <c r="A74" s="12"/>
      <c r="B74" s="12"/>
      <c r="C74" s="12"/>
      <c r="D74" s="13"/>
      <c r="E74" s="12"/>
      <c r="F74" s="14">
        <f>IF(D74="","",D74*IF(E74="WEEKLY",52,IF(E74="BIWEEKLY",26,IF(E74="QUARTERLY",4,IF(E74="SEMI_ANNUAL",2,IF(E74="ANNUAL",1,12))))))</f>
        <v>0</v>
      </c>
      <c r="G74" s="15"/>
      <c r="H74" s="12"/>
      <c r="I74" s="14">
        <f>IF(H74="CANCEL_CANDIDATE",F74,0)</f>
        <v>0</v>
      </c>
    </row>
    <row r="75" ht="20" customHeight="1" spans="1:9" x14ac:dyDescent="0.25">
      <c r="A75" s="12"/>
      <c r="B75" s="12"/>
      <c r="C75" s="12"/>
      <c r="D75" s="13"/>
      <c r="E75" s="12"/>
      <c r="F75" s="14">
        <f>IF(D75="","",D75*IF(E75="WEEKLY",52,IF(E75="BIWEEKLY",26,IF(E75="QUARTERLY",4,IF(E75="SEMI_ANNUAL",2,IF(E75="ANNUAL",1,12))))))</f>
        <v>0</v>
      </c>
      <c r="G75" s="15"/>
      <c r="H75" s="12"/>
      <c r="I75" s="14">
        <f>IF(H75="CANCEL_CANDIDATE",F75,0)</f>
        <v>0</v>
      </c>
    </row>
    <row r="76" ht="20" customHeight="1" spans="1:9" x14ac:dyDescent="0.25">
      <c r="A76" s="12"/>
      <c r="B76" s="12"/>
      <c r="C76" s="12"/>
      <c r="D76" s="13"/>
      <c r="E76" s="12"/>
      <c r="F76" s="14">
        <f>IF(D76="","",D76*IF(E76="WEEKLY",52,IF(E76="BIWEEKLY",26,IF(E76="QUARTERLY",4,IF(E76="SEMI_ANNUAL",2,IF(E76="ANNUAL",1,12))))))</f>
        <v>0</v>
      </c>
      <c r="G76" s="15"/>
      <c r="H76" s="12"/>
      <c r="I76" s="14">
        <f>IF(H76="CANCEL_CANDIDATE",F76,0)</f>
        <v>0</v>
      </c>
    </row>
    <row r="77" ht="20" customHeight="1" spans="1:9" x14ac:dyDescent="0.25">
      <c r="A77" s="12"/>
      <c r="B77" s="12"/>
      <c r="C77" s="12"/>
      <c r="D77" s="13"/>
      <c r="E77" s="12"/>
      <c r="F77" s="14">
        <f>IF(D77="","",D77*IF(E77="WEEKLY",52,IF(E77="BIWEEKLY",26,IF(E77="QUARTERLY",4,IF(E77="SEMI_ANNUAL",2,IF(E77="ANNUAL",1,12))))))</f>
        <v>0</v>
      </c>
      <c r="G77" s="15"/>
      <c r="H77" s="12"/>
      <c r="I77" s="14">
        <f>IF(H77="CANCEL_CANDIDATE",F77,0)</f>
        <v>0</v>
      </c>
    </row>
    <row r="78" ht="20" customHeight="1" spans="1:9" x14ac:dyDescent="0.25">
      <c r="A78" s="12"/>
      <c r="B78" s="12"/>
      <c r="C78" s="12"/>
      <c r="D78" s="13"/>
      <c r="E78" s="12"/>
      <c r="F78" s="14">
        <f>IF(D78="","",D78*IF(E78="WEEKLY",52,IF(E78="BIWEEKLY",26,IF(E78="QUARTERLY",4,IF(E78="SEMI_ANNUAL",2,IF(E78="ANNUAL",1,12))))))</f>
        <v>0</v>
      </c>
      <c r="G78" s="15"/>
      <c r="H78" s="12"/>
      <c r="I78" s="14">
        <f>IF(H78="CANCEL_CANDIDATE",F78,0)</f>
        <v>0</v>
      </c>
    </row>
    <row r="79" ht="20" customHeight="1" spans="1:9" x14ac:dyDescent="0.25">
      <c r="A79" s="12"/>
      <c r="B79" s="12"/>
      <c r="C79" s="12"/>
      <c r="D79" s="13"/>
      <c r="E79" s="12"/>
      <c r="F79" s="14">
        <f>IF(D79="","",D79*IF(E79="WEEKLY",52,IF(E79="BIWEEKLY",26,IF(E79="QUARTERLY",4,IF(E79="SEMI_ANNUAL",2,IF(E79="ANNUAL",1,12))))))</f>
        <v>0</v>
      </c>
      <c r="G79" s="15"/>
      <c r="H79" s="12"/>
      <c r="I79" s="14">
        <f>IF(H79="CANCEL_CANDIDATE",F79,0)</f>
        <v>0</v>
      </c>
    </row>
    <row r="80" ht="20" customHeight="1" spans="1:9" x14ac:dyDescent="0.25">
      <c r="A80" s="12"/>
      <c r="B80" s="12"/>
      <c r="C80" s="12"/>
      <c r="D80" s="13"/>
      <c r="E80" s="12"/>
      <c r="F80" s="14">
        <f>IF(D80="","",D80*IF(E80="WEEKLY",52,IF(E80="BIWEEKLY",26,IF(E80="QUARTERLY",4,IF(E80="SEMI_ANNUAL",2,IF(E80="ANNUAL",1,12))))))</f>
        <v>0</v>
      </c>
      <c r="G80" s="15"/>
      <c r="H80" s="12"/>
      <c r="I80" s="14">
        <f>IF(H80="CANCEL_CANDIDATE",F80,0)</f>
        <v>0</v>
      </c>
    </row>
    <row r="81" ht="20" customHeight="1" spans="1:9" x14ac:dyDescent="0.25">
      <c r="A81" s="12"/>
      <c r="B81" s="12"/>
      <c r="C81" s="12"/>
      <c r="D81" s="13"/>
      <c r="E81" s="12"/>
      <c r="F81" s="14">
        <f>IF(D81="","",D81*IF(E81="WEEKLY",52,IF(E81="BIWEEKLY",26,IF(E81="QUARTERLY",4,IF(E81="SEMI_ANNUAL",2,IF(E81="ANNUAL",1,12))))))</f>
        <v>0</v>
      </c>
      <c r="G81" s="15"/>
      <c r="H81" s="12"/>
      <c r="I81" s="14">
        <f>IF(H81="CANCEL_CANDIDATE",F81,0)</f>
        <v>0</v>
      </c>
    </row>
    <row r="82" ht="20" customHeight="1" spans="1:9" x14ac:dyDescent="0.25">
      <c r="A82" s="12"/>
      <c r="B82" s="12"/>
      <c r="C82" s="12"/>
      <c r="D82" s="13"/>
      <c r="E82" s="12"/>
      <c r="F82" s="14">
        <f>IF(D82="","",D82*IF(E82="WEEKLY",52,IF(E82="BIWEEKLY",26,IF(E82="QUARTERLY",4,IF(E82="SEMI_ANNUAL",2,IF(E82="ANNUAL",1,12))))))</f>
        <v>0</v>
      </c>
      <c r="G82" s="15"/>
      <c r="H82" s="12"/>
      <c r="I82" s="14">
        <f>IF(H82="CANCEL_CANDIDATE",F82,0)</f>
        <v>0</v>
      </c>
    </row>
    <row r="83" ht="20" customHeight="1" spans="1:9" x14ac:dyDescent="0.25">
      <c r="A83" s="12"/>
      <c r="B83" s="12"/>
      <c r="C83" s="12"/>
      <c r="D83" s="13"/>
      <c r="E83" s="12"/>
      <c r="F83" s="14">
        <f>IF(D83="","",D83*IF(E83="WEEKLY",52,IF(E83="BIWEEKLY",26,IF(E83="QUARTERLY",4,IF(E83="SEMI_ANNUAL",2,IF(E83="ANNUAL",1,12))))))</f>
        <v>0</v>
      </c>
      <c r="G83" s="15"/>
      <c r="H83" s="12"/>
      <c r="I83" s="14">
        <f>IF(H83="CANCEL_CANDIDATE",F83,0)</f>
        <v>0</v>
      </c>
    </row>
    <row r="84" ht="20" customHeight="1" spans="1:9" x14ac:dyDescent="0.25">
      <c r="A84" s="12"/>
      <c r="B84" s="12"/>
      <c r="C84" s="12"/>
      <c r="D84" s="13"/>
      <c r="E84" s="12"/>
      <c r="F84" s="14">
        <f>IF(D84="","",D84*IF(E84="WEEKLY",52,IF(E84="BIWEEKLY",26,IF(E84="QUARTERLY",4,IF(E84="SEMI_ANNUAL",2,IF(E84="ANNUAL",1,12))))))</f>
        <v>0</v>
      </c>
      <c r="G84" s="15"/>
      <c r="H84" s="12"/>
      <c r="I84" s="14">
        <f>IF(H84="CANCEL_CANDIDATE",F84,0)</f>
        <v>0</v>
      </c>
    </row>
    <row r="85" ht="20" customHeight="1" spans="1:9" x14ac:dyDescent="0.25">
      <c r="A85" s="12"/>
      <c r="B85" s="12"/>
      <c r="C85" s="12"/>
      <c r="D85" s="13"/>
      <c r="E85" s="12"/>
      <c r="F85" s="14">
        <f>IF(D85="","",D85*IF(E85="WEEKLY",52,IF(E85="BIWEEKLY",26,IF(E85="QUARTERLY",4,IF(E85="SEMI_ANNUAL",2,IF(E85="ANNUAL",1,12))))))</f>
        <v>0</v>
      </c>
      <c r="G85" s="15"/>
      <c r="H85" s="12"/>
      <c r="I85" s="14">
        <f>IF(H85="CANCEL_CANDIDATE",F85,0)</f>
        <v>0</v>
      </c>
    </row>
    <row r="86" ht="20" customHeight="1" spans="1:9" x14ac:dyDescent="0.25">
      <c r="A86" s="12"/>
      <c r="B86" s="12"/>
      <c r="C86" s="12"/>
      <c r="D86" s="13"/>
      <c r="E86" s="12"/>
      <c r="F86" s="14">
        <f>IF(D86="","",D86*IF(E86="WEEKLY",52,IF(E86="BIWEEKLY",26,IF(E86="QUARTERLY",4,IF(E86="SEMI_ANNUAL",2,IF(E86="ANNUAL",1,12))))))</f>
        <v>0</v>
      </c>
      <c r="G86" s="15"/>
      <c r="H86" s="12"/>
      <c r="I86" s="14">
        <f>IF(H86="CANCEL_CANDIDATE",F86,0)</f>
        <v>0</v>
      </c>
    </row>
    <row r="87" ht="20" customHeight="1" spans="1:9" x14ac:dyDescent="0.25">
      <c r="A87" s="12"/>
      <c r="B87" s="12"/>
      <c r="C87" s="12"/>
      <c r="D87" s="13"/>
      <c r="E87" s="12"/>
      <c r="F87" s="14">
        <f>IF(D87="","",D87*IF(E87="WEEKLY",52,IF(E87="BIWEEKLY",26,IF(E87="QUARTERLY",4,IF(E87="SEMI_ANNUAL",2,IF(E87="ANNUAL",1,12))))))</f>
        <v>0</v>
      </c>
      <c r="G87" s="15"/>
      <c r="H87" s="12"/>
      <c r="I87" s="14">
        <f>IF(H87="CANCEL_CANDIDATE",F87,0)</f>
        <v>0</v>
      </c>
    </row>
    <row r="88" ht="20" customHeight="1" spans="1:9" x14ac:dyDescent="0.25">
      <c r="A88" s="12"/>
      <c r="B88" s="12"/>
      <c r="C88" s="12"/>
      <c r="D88" s="13"/>
      <c r="E88" s="12"/>
      <c r="F88" s="14">
        <f>IF(D88="","",D88*IF(E88="WEEKLY",52,IF(E88="BIWEEKLY",26,IF(E88="QUARTERLY",4,IF(E88="SEMI_ANNUAL",2,IF(E88="ANNUAL",1,12))))))</f>
        <v>0</v>
      </c>
      <c r="G88" s="15"/>
      <c r="H88" s="12"/>
      <c r="I88" s="14">
        <f>IF(H88="CANCEL_CANDIDATE",F88,0)</f>
        <v>0</v>
      </c>
    </row>
    <row r="89" ht="20" customHeight="1" spans="1:9" x14ac:dyDescent="0.25">
      <c r="A89" s="12"/>
      <c r="B89" s="12"/>
      <c r="C89" s="12"/>
      <c r="D89" s="13"/>
      <c r="E89" s="12"/>
      <c r="F89" s="14">
        <f>IF(D89="","",D89*IF(E89="WEEKLY",52,IF(E89="BIWEEKLY",26,IF(E89="QUARTERLY",4,IF(E89="SEMI_ANNUAL",2,IF(E89="ANNUAL",1,12))))))</f>
        <v>0</v>
      </c>
      <c r="G89" s="15"/>
      <c r="H89" s="12"/>
      <c r="I89" s="14">
        <f>IF(H89="CANCEL_CANDIDATE",F89,0)</f>
        <v>0</v>
      </c>
    </row>
    <row r="90" ht="20" customHeight="1" spans="1:9" x14ac:dyDescent="0.25">
      <c r="A90" s="12"/>
      <c r="B90" s="12"/>
      <c r="C90" s="12"/>
      <c r="D90" s="13"/>
      <c r="E90" s="12"/>
      <c r="F90" s="14">
        <f>IF(D90="","",D90*IF(E90="WEEKLY",52,IF(E90="BIWEEKLY",26,IF(E90="QUARTERLY",4,IF(E90="SEMI_ANNUAL",2,IF(E90="ANNUAL",1,12))))))</f>
        <v>0</v>
      </c>
      <c r="G90" s="15"/>
      <c r="H90" s="12"/>
      <c r="I90" s="14">
        <f>IF(H90="CANCEL_CANDIDATE",F90,0)</f>
        <v>0</v>
      </c>
    </row>
    <row r="91" ht="20" customHeight="1" spans="1:9" x14ac:dyDescent="0.25">
      <c r="A91" s="12"/>
      <c r="B91" s="12"/>
      <c r="C91" s="12"/>
      <c r="D91" s="13"/>
      <c r="E91" s="12"/>
      <c r="F91" s="14">
        <f>IF(D91="","",D91*IF(E91="WEEKLY",52,IF(E91="BIWEEKLY",26,IF(E91="QUARTERLY",4,IF(E91="SEMI_ANNUAL",2,IF(E91="ANNUAL",1,12))))))</f>
        <v>0</v>
      </c>
      <c r="G91" s="15"/>
      <c r="H91" s="12"/>
      <c r="I91" s="14">
        <f>IF(H91="CANCEL_CANDIDATE",F91,0)</f>
        <v>0</v>
      </c>
    </row>
    <row r="92" ht="20" customHeight="1" spans="1:9" x14ac:dyDescent="0.25">
      <c r="A92" s="12"/>
      <c r="B92" s="12"/>
      <c r="C92" s="12"/>
      <c r="D92" s="13"/>
      <c r="E92" s="12"/>
      <c r="F92" s="14">
        <f>IF(D92="","",D92*IF(E92="WEEKLY",52,IF(E92="BIWEEKLY",26,IF(E92="QUARTERLY",4,IF(E92="SEMI_ANNUAL",2,IF(E92="ANNUAL",1,12))))))</f>
        <v>0</v>
      </c>
      <c r="G92" s="15"/>
      <c r="H92" s="12"/>
      <c r="I92" s="14">
        <f>IF(H92="CANCEL_CANDIDATE",F92,0)</f>
        <v>0</v>
      </c>
    </row>
    <row r="93" ht="20" customHeight="1" spans="1:9" x14ac:dyDescent="0.25">
      <c r="A93" s="12"/>
      <c r="B93" s="12"/>
      <c r="C93" s="12"/>
      <c r="D93" s="13"/>
      <c r="E93" s="12"/>
      <c r="F93" s="14">
        <f>IF(D93="","",D93*IF(E93="WEEKLY",52,IF(E93="BIWEEKLY",26,IF(E93="QUARTERLY",4,IF(E93="SEMI_ANNUAL",2,IF(E93="ANNUAL",1,12))))))</f>
        <v>0</v>
      </c>
      <c r="G93" s="15"/>
      <c r="H93" s="12"/>
      <c r="I93" s="14">
        <f>IF(H93="CANCEL_CANDIDATE",F93,0)</f>
        <v>0</v>
      </c>
    </row>
    <row r="94" ht="20" customHeight="1" spans="1:9" x14ac:dyDescent="0.25">
      <c r="A94" s="12"/>
      <c r="B94" s="12"/>
      <c r="C94" s="12"/>
      <c r="D94" s="13"/>
      <c r="E94" s="12"/>
      <c r="F94" s="14">
        <f>IF(D94="","",D94*IF(E94="WEEKLY",52,IF(E94="BIWEEKLY",26,IF(E94="QUARTERLY",4,IF(E94="SEMI_ANNUAL",2,IF(E94="ANNUAL",1,12))))))</f>
        <v>0</v>
      </c>
      <c r="G94" s="15"/>
      <c r="H94" s="12"/>
      <c r="I94" s="14">
        <f>IF(H94="CANCEL_CANDIDATE",F94,0)</f>
        <v>0</v>
      </c>
    </row>
    <row r="95" ht="20" customHeight="1" spans="1:9" x14ac:dyDescent="0.25">
      <c r="A95" s="12"/>
      <c r="B95" s="12"/>
      <c r="C95" s="12"/>
      <c r="D95" s="13"/>
      <c r="E95" s="12"/>
      <c r="F95" s="14">
        <f>IF(D95="","",D95*IF(E95="WEEKLY",52,IF(E95="BIWEEKLY",26,IF(E95="QUARTERLY",4,IF(E95="SEMI_ANNUAL",2,IF(E95="ANNUAL",1,12))))))</f>
        <v>0</v>
      </c>
      <c r="G95" s="15"/>
      <c r="H95" s="12"/>
      <c r="I95" s="14">
        <f>IF(H95="CANCEL_CANDIDATE",F95,0)</f>
        <v>0</v>
      </c>
    </row>
    <row r="96" ht="20" customHeight="1" spans="1:9" x14ac:dyDescent="0.25">
      <c r="A96" s="12"/>
      <c r="B96" s="12"/>
      <c r="C96" s="12"/>
      <c r="D96" s="13"/>
      <c r="E96" s="12"/>
      <c r="F96" s="14">
        <f>IF(D96="","",D96*IF(E96="WEEKLY",52,IF(E96="BIWEEKLY",26,IF(E96="QUARTERLY",4,IF(E96="SEMI_ANNUAL",2,IF(E96="ANNUAL",1,12))))))</f>
        <v>0</v>
      </c>
      <c r="G96" s="15"/>
      <c r="H96" s="12"/>
      <c r="I96" s="14">
        <f>IF(H96="CANCEL_CANDIDATE",F96,0)</f>
        <v>0</v>
      </c>
    </row>
    <row r="97" ht="20" customHeight="1" spans="1:9" x14ac:dyDescent="0.25">
      <c r="A97" s="12"/>
      <c r="B97" s="12"/>
      <c r="C97" s="12"/>
      <c r="D97" s="13"/>
      <c r="E97" s="12"/>
      <c r="F97" s="14">
        <f>IF(D97="","",D97*IF(E97="WEEKLY",52,IF(E97="BIWEEKLY",26,IF(E97="QUARTERLY",4,IF(E97="SEMI_ANNUAL",2,IF(E97="ANNUAL",1,12))))))</f>
        <v>0</v>
      </c>
      <c r="G97" s="15"/>
      <c r="H97" s="12"/>
      <c r="I97" s="14">
        <f>IF(H97="CANCEL_CANDIDATE",F97,0)</f>
        <v>0</v>
      </c>
    </row>
    <row r="98" ht="20" customHeight="1" spans="1:9" x14ac:dyDescent="0.25">
      <c r="A98" s="12"/>
      <c r="B98" s="12"/>
      <c r="C98" s="12"/>
      <c r="D98" s="13"/>
      <c r="E98" s="12"/>
      <c r="F98" s="14">
        <f>IF(D98="","",D98*IF(E98="WEEKLY",52,IF(E98="BIWEEKLY",26,IF(E98="QUARTERLY",4,IF(E98="SEMI_ANNUAL",2,IF(E98="ANNUAL",1,12))))))</f>
        <v>0</v>
      </c>
      <c r="G98" s="15"/>
      <c r="H98" s="12"/>
      <c r="I98" s="14">
        <f>IF(H98="CANCEL_CANDIDATE",F98,0)</f>
        <v>0</v>
      </c>
    </row>
    <row r="99" ht="20" customHeight="1" spans="1:9" x14ac:dyDescent="0.25">
      <c r="A99" s="12"/>
      <c r="B99" s="12"/>
      <c r="C99" s="12"/>
      <c r="D99" s="13"/>
      <c r="E99" s="12"/>
      <c r="F99" s="14">
        <f>IF(D99="","",D99*IF(E99="WEEKLY",52,IF(E99="BIWEEKLY",26,IF(E99="QUARTERLY",4,IF(E99="SEMI_ANNUAL",2,IF(E99="ANNUAL",1,12))))))</f>
        <v>0</v>
      </c>
      <c r="G99" s="15"/>
      <c r="H99" s="12"/>
      <c r="I99" s="14">
        <f>IF(H99="CANCEL_CANDIDATE",F99,0)</f>
        <v>0</v>
      </c>
    </row>
    <row r="100" ht="20" customHeight="1" spans="1:9" x14ac:dyDescent="0.25">
      <c r="A100" s="12"/>
      <c r="B100" s="12"/>
      <c r="C100" s="12"/>
      <c r="D100" s="13"/>
      <c r="E100" s="12"/>
      <c r="F100" s="14">
        <f>IF(D100="","",D100*IF(E100="WEEKLY",52,IF(E100="BIWEEKLY",26,IF(E100="QUARTERLY",4,IF(E100="SEMI_ANNUAL",2,IF(E100="ANNUAL",1,12))))))</f>
        <v>0</v>
      </c>
      <c r="G100" s="15"/>
      <c r="H100" s="12"/>
      <c r="I100" s="14">
        <f>IF(H100="CANCEL_CANDIDATE",F100,0)</f>
        <v>0</v>
      </c>
    </row>
    <row r="101" ht="20" customHeight="1" spans="1:9" x14ac:dyDescent="0.25">
      <c r="A101" s="12"/>
      <c r="B101" s="12"/>
      <c r="C101" s="12"/>
      <c r="D101" s="13"/>
      <c r="E101" s="12"/>
      <c r="F101" s="14">
        <f>IF(D101="","",D101*IF(E101="WEEKLY",52,IF(E101="BIWEEKLY",26,IF(E101="QUARTERLY",4,IF(E101="SEMI_ANNUAL",2,IF(E101="ANNUAL",1,12))))))</f>
        <v>0</v>
      </c>
      <c r="G101" s="15"/>
      <c r="H101" s="12"/>
      <c r="I101" s="14">
        <f>IF(H101="CANCEL_CANDIDATE",F101,0)</f>
        <v>0</v>
      </c>
    </row>
    <row r="102" ht="20" customHeight="1" spans="1:9" x14ac:dyDescent="0.25">
      <c r="A102" s="12"/>
      <c r="B102" s="12"/>
      <c r="C102" s="12"/>
      <c r="D102" s="13"/>
      <c r="E102" s="12"/>
      <c r="F102" s="14">
        <f>IF(D102="","",D102*IF(E102="WEEKLY",52,IF(E102="BIWEEKLY",26,IF(E102="QUARTERLY",4,IF(E102="SEMI_ANNUAL",2,IF(E102="ANNUAL",1,12))))))</f>
        <v>0</v>
      </c>
      <c r="G102" s="15"/>
      <c r="H102" s="12"/>
      <c r="I102" s="14">
        <f>IF(H102="CANCEL_CANDIDATE",F102,0)</f>
        <v>0</v>
      </c>
    </row>
    <row r="103" ht="20" customHeight="1" spans="1:9" x14ac:dyDescent="0.25">
      <c r="A103" s="12"/>
      <c r="B103" s="12"/>
      <c r="C103" s="12"/>
      <c r="D103" s="13"/>
      <c r="E103" s="12"/>
      <c r="F103" s="14">
        <f>IF(D103="","",D103*IF(E103="WEEKLY",52,IF(E103="BIWEEKLY",26,IF(E103="QUARTERLY",4,IF(E103="SEMI_ANNUAL",2,IF(E103="ANNUAL",1,12))))))</f>
        <v>0</v>
      </c>
      <c r="G103" s="15"/>
      <c r="H103" s="12"/>
      <c r="I103" s="14">
        <f>IF(H103="CANCEL_CANDIDATE",F103,0)</f>
        <v>0</v>
      </c>
    </row>
    <row r="104" ht="20" customHeight="1" spans="1:9" x14ac:dyDescent="0.25">
      <c r="A104" s="12"/>
      <c r="B104" s="12"/>
      <c r="C104" s="12"/>
      <c r="D104" s="13"/>
      <c r="E104" s="12"/>
      <c r="F104" s="14">
        <f>IF(D104="","",D104*IF(E104="WEEKLY",52,IF(E104="BIWEEKLY",26,IF(E104="QUARTERLY",4,IF(E104="SEMI_ANNUAL",2,IF(E104="ANNUAL",1,12))))))</f>
        <v>0</v>
      </c>
      <c r="G104" s="15"/>
      <c r="H104" s="12"/>
      <c r="I104" s="14">
        <f>IF(H104="CANCEL_CANDIDATE",F104,0)</f>
        <v>0</v>
      </c>
    </row>
  </sheetData>
  <sheetProtection sheet="1" autoFilter="0" algorithmName="SHA-512" hashValue="pSXzz3YizqLu02vW3kSnyXRjYwQvsvB+oG/VVEwaNEreSQj+8J8C3iI++44T1u8Der41cWNS/+ydAnmrRQwVhQ==" saltValue="hGbC6iALT1GBQQw3eoG6ew==" spinCount="1000"/>
  <mergeCells count="3">
    <mergeCell ref="A1:I1"/>
    <mergeCell ref="A2:I2"/>
    <mergeCell ref="A3:I3"/>
  </mergeCells>
  <conditionalFormatting sqref="I5:I104">
    <cfRule type="cellIs" dxfId="0" priority="1" operator="lessThan">
      <formula>0</formula>
    </cfRule>
    <cfRule type="cellIs" dxfId="1" priority="2" operator="greaterThanOrEqual">
      <formula>0</formula>
    </cfRule>
  </conditionalFormatting>
  <dataValidations count="12">
    <dataValidation type="textLength" showInputMessage="1" promptTitle="Input guidance" prompt="This field is required." showErrorMessage="1" errorStyle="stop" errorTitle="Invalid value" error="This field is required." sqref="A10:A104">
      <formula1>1</formula1>
      <formula2>80</formula2>
    </dataValidation>
    <dataValidation type="textLength" showInputMessage="1" promptTitle="Input guidance" prompt="This field is required." showErrorMessage="1" errorStyle="stop" errorTitle="Invalid value" error="This field is required." sqref="A5:A104">
      <formula1>1</formula1>
      <formula2>80</formula2>
    </dataValidation>
    <dataValidation type="list" showInputMessage="1" promptTitle="Input guidance" prompt="This field is required." showErrorMessage="1" errorStyle="stop" errorTitle="Invalid value" error="This field is required." sqref="C10:C104">
      <formula1>'Categories'!$A$5:$A$44</formula1>
    </dataValidation>
    <dataValidation type="list" showInputMessage="1" promptTitle="Input guidance" prompt="This field is required." showErrorMessage="1" errorStyle="stop" errorTitle="Invalid value" error="This field is required." sqref="C5:C104">
      <formula1>'Categories'!$A$5:$A$44</formula1>
    </dataValidation>
    <dataValidation type="decimal" operator="greaterThanOrEqual" showInputMessage="1" promptTitle="Input guidance" prompt="This field is required." showErrorMessage="1" errorStyle="stop" errorTitle="Invalid value" error="This field is required." sqref="D10:D104">
      <formula1>0</formula1>
    </dataValidation>
    <dataValidation type="decimal" operator="greaterThanOrEqual" showInputMessage="1" promptTitle="Input guidance" prompt="This field is required." showErrorMessage="1" errorStyle="stop" errorTitle="Invalid value" error="This field is required." sqref="D5:D104">
      <formula1>0</formula1>
    </dataValidation>
    <dataValidation type="list" showInputMessage="1" promptTitle="Input guidance" prompt="This field is required." showErrorMessage="1" errorStyle="stop" errorTitle="Invalid value" error="This field is required." sqref="E10:E104">
      <formula1>"WEEKLY,MONTHLY,QUARTERLY,SEMI_ANNUAL,ANNUAL"</formula1>
    </dataValidation>
    <dataValidation type="list" showInputMessage="1" promptTitle="Input guidance" prompt="This field is required." showErrorMessage="1" errorStyle="stop" errorTitle="Invalid value" error="This field is required." sqref="E5:E104">
      <formula1>"WEEKLY,MONTHLY,QUARTERLY,SEMI_ANNUAL,ANNUAL"</formula1>
    </dataValidation>
    <dataValidation type="date" showInputMessage="1" promptTitle="Input guidance" prompt="This field is required." showErrorMessage="1" errorStyle="stop" errorTitle="Invalid value" error="This field is required." sqref="G10:G104">
      <formula1>46023.5</formula1>
      <formula2>46387.5</formula2>
    </dataValidation>
    <dataValidation type="date" showInputMessage="1" promptTitle="Input guidance" prompt="This field is required." showErrorMessage="1" errorStyle="stop" errorTitle="Invalid value" error="This field is required." sqref="G5:G104">
      <formula1>46023.5</formula1>
      <formula2>46387.5</formula2>
    </dataValidation>
    <dataValidation type="list" showInputMessage="1" promptTitle="Input guidance" prompt="This field is required." showErrorMessage="1" errorStyle="stop" errorTitle="Invalid value" error="This field is required." sqref="H10:H104">
      <formula1>"ACTIVE,PAUSED,CANCEL_CANDIDATE,CANCELLED"</formula1>
    </dataValidation>
    <dataValidation type="list" showInputMessage="1" promptTitle="Input guidance" prompt="This field is required." showErrorMessage="1" errorStyle="stop" errorTitle="Invalid value" error="This field is required." sqref="H5:H104">
      <formula1>"ACTIVE,PAUSED,CANCEL_CANDIDATE,CANCELLED"</formula1>
    </dataValidation>
  </dataValidations>
  <printOptions horizontalCentered="1"/>
  <pageMargins left="0.35" right="0.35" top="0.55" bottom="0.55" header="0.2" footer="0.2"/>
  <pageSetup paperSize="9" orientation="landscape" fitToWidth="1" fitToHeight="0"/>
  <headerFooter>
    <oddFooter>&amp;LNumberNinjaTees&amp;C&amp;F&amp;RPage &amp;P of &amp;N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65600"/>
    <pageSetUpPr fitToPage="1"/>
  </sheetPr>
  <dimension ref="A1:C44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20" outlineLevelRow="0" outlineLevelCol="0" x14ac:dyDescent="55" customHeight="1"/>
  <cols>
    <col min="1" max="1" width="24" style="1" customWidth="1"/>
    <col min="2" max="2" width="16" style="1" customWidth="1"/>
    <col min="3" max="3" width="16" style="2" customWidth="1"/>
  </cols>
  <sheetData>
    <row r="1" ht="34" customHeight="1" spans="1:3" x14ac:dyDescent="0.25">
      <c r="A1" s="3" t="s">
        <v>0</v>
      </c>
      <c r="B1" s="3"/>
      <c r="C1" s="3"/>
    </row>
    <row r="2" ht="30" customHeight="1" spans="1:3" x14ac:dyDescent="0.25">
      <c r="A2" s="4" t="s">
        <v>1</v>
      </c>
      <c r="B2" s="4"/>
      <c r="C2" s="4"/>
    </row>
    <row r="3" ht="22" customHeight="1" spans="1:3" x14ac:dyDescent="0.25">
      <c r="A3" s="5" t="s">
        <v>2</v>
      </c>
      <c r="B3" s="5"/>
      <c r="C3" s="5"/>
    </row>
    <row r="4" ht="26" customHeight="1" spans="1:3" x14ac:dyDescent="0.25">
      <c r="A4" s="6" t="s">
        <v>10</v>
      </c>
      <c r="B4" s="6" t="s">
        <v>36</v>
      </c>
      <c r="C4" s="7" t="s">
        <v>37</v>
      </c>
    </row>
    <row r="5" ht="20" customHeight="1" spans="1:3" x14ac:dyDescent="0.25">
      <c r="A5" s="16" t="s">
        <v>38</v>
      </c>
      <c r="B5" s="12" t="s">
        <v>39</v>
      </c>
      <c r="C5" s="13">
        <v>3200</v>
      </c>
    </row>
    <row r="6" ht="20" customHeight="1" spans="1:3" x14ac:dyDescent="0.25">
      <c r="A6" s="16" t="s">
        <v>40</v>
      </c>
      <c r="B6" s="12" t="s">
        <v>39</v>
      </c>
      <c r="C6" s="13">
        <v>600</v>
      </c>
    </row>
    <row r="7" ht="20" customHeight="1" spans="1:3" x14ac:dyDescent="0.25">
      <c r="A7" s="16" t="s">
        <v>41</v>
      </c>
      <c r="B7" s="12" t="s">
        <v>42</v>
      </c>
      <c r="C7" s="13">
        <v>1200</v>
      </c>
    </row>
    <row r="8" ht="20" customHeight="1" spans="1:3" x14ac:dyDescent="0.25">
      <c r="A8" s="16" t="s">
        <v>24</v>
      </c>
      <c r="B8" s="12" t="s">
        <v>42</v>
      </c>
      <c r="C8" s="13">
        <v>240</v>
      </c>
    </row>
    <row r="9" ht="20" customHeight="1" spans="1:3" x14ac:dyDescent="0.25">
      <c r="A9" s="16" t="s">
        <v>43</v>
      </c>
      <c r="B9" s="12" t="s">
        <v>42</v>
      </c>
      <c r="C9" s="13">
        <v>500</v>
      </c>
    </row>
    <row r="10" ht="20" customHeight="1" spans="1:3" x14ac:dyDescent="0.25">
      <c r="A10" s="16" t="s">
        <v>44</v>
      </c>
      <c r="B10" s="12" t="s">
        <v>42</v>
      </c>
      <c r="C10" s="13">
        <v>250</v>
      </c>
    </row>
    <row r="11" ht="20" customHeight="1" spans="1:3" x14ac:dyDescent="0.25">
      <c r="A11" s="16" t="s">
        <v>34</v>
      </c>
      <c r="B11" s="12" t="s">
        <v>42</v>
      </c>
      <c r="C11" s="13">
        <v>190</v>
      </c>
    </row>
    <row r="12" ht="20" customHeight="1" spans="1:3" x14ac:dyDescent="0.25">
      <c r="A12" s="16" t="s">
        <v>27</v>
      </c>
      <c r="B12" s="12" t="s">
        <v>42</v>
      </c>
      <c r="C12" s="13">
        <v>120</v>
      </c>
    </row>
    <row r="13" ht="20" customHeight="1" spans="1:3" x14ac:dyDescent="0.25">
      <c r="A13" s="16" t="s">
        <v>19</v>
      </c>
      <c r="B13" s="12" t="s">
        <v>42</v>
      </c>
      <c r="C13" s="13">
        <v>180</v>
      </c>
    </row>
    <row r="14" ht="20" customHeight="1" spans="1:3" x14ac:dyDescent="0.25">
      <c r="A14" s="16" t="s">
        <v>45</v>
      </c>
      <c r="B14" s="12" t="s">
        <v>46</v>
      </c>
      <c r="C14" s="13">
        <v>300</v>
      </c>
    </row>
    <row r="15" ht="20" customHeight="1" spans="1:3" x14ac:dyDescent="0.25">
      <c r="A15" s="16" t="s">
        <v>47</v>
      </c>
      <c r="B15" s="12" t="s">
        <v>46</v>
      </c>
      <c r="C15" s="13">
        <v>250</v>
      </c>
    </row>
    <row r="16" ht="20" customHeight="1" spans="1:3" x14ac:dyDescent="0.25">
      <c r="A16" s="16" t="s">
        <v>48</v>
      </c>
      <c r="B16" s="12"/>
      <c r="C16" s="13"/>
    </row>
    <row r="17" ht="20" customHeight="1" spans="1:3" x14ac:dyDescent="0.25">
      <c r="A17" s="16"/>
      <c r="B17" s="12"/>
      <c r="C17" s="13"/>
    </row>
    <row r="18" ht="20" customHeight="1" spans="1:3" x14ac:dyDescent="0.25">
      <c r="A18" s="16"/>
      <c r="B18" s="12"/>
      <c r="C18" s="13"/>
    </row>
    <row r="19" ht="20" customHeight="1" spans="1:3" x14ac:dyDescent="0.25">
      <c r="A19" s="16"/>
      <c r="B19" s="12"/>
      <c r="C19" s="13"/>
    </row>
    <row r="20" ht="20" customHeight="1" spans="1:3" x14ac:dyDescent="0.25">
      <c r="A20" s="16"/>
      <c r="B20" s="12"/>
      <c r="C20" s="13"/>
    </row>
    <row r="21" ht="20" customHeight="1" spans="1:3" x14ac:dyDescent="0.25">
      <c r="A21" s="16"/>
      <c r="B21" s="12"/>
      <c r="C21" s="13"/>
    </row>
    <row r="22" ht="20" customHeight="1" spans="1:3" x14ac:dyDescent="0.25">
      <c r="A22" s="16"/>
      <c r="B22" s="12"/>
      <c r="C22" s="13"/>
    </row>
    <row r="23" ht="20" customHeight="1" spans="1:3" x14ac:dyDescent="0.25">
      <c r="A23" s="16"/>
      <c r="B23" s="12"/>
      <c r="C23" s="13"/>
    </row>
    <row r="24" ht="20" customHeight="1" spans="1:3" x14ac:dyDescent="0.25">
      <c r="A24" s="16"/>
      <c r="B24" s="12"/>
      <c r="C24" s="13"/>
    </row>
    <row r="25" ht="20" customHeight="1" spans="1:3" x14ac:dyDescent="0.25">
      <c r="A25" s="16"/>
      <c r="B25" s="12"/>
      <c r="C25" s="13"/>
    </row>
    <row r="26" ht="20" customHeight="1" spans="1:3" x14ac:dyDescent="0.25">
      <c r="A26" s="16"/>
      <c r="B26" s="12"/>
      <c r="C26" s="13"/>
    </row>
    <row r="27" ht="20" customHeight="1" spans="1:3" x14ac:dyDescent="0.25">
      <c r="A27" s="16"/>
      <c r="B27" s="12"/>
      <c r="C27" s="13"/>
    </row>
    <row r="28" ht="20" customHeight="1" spans="1:3" x14ac:dyDescent="0.25">
      <c r="A28" s="16"/>
      <c r="B28" s="12"/>
      <c r="C28" s="13"/>
    </row>
    <row r="29" ht="20" customHeight="1" spans="1:3" x14ac:dyDescent="0.25">
      <c r="A29" s="16"/>
      <c r="B29" s="12"/>
      <c r="C29" s="13"/>
    </row>
    <row r="30" ht="20" customHeight="1" spans="1:3" x14ac:dyDescent="0.25">
      <c r="A30" s="16"/>
      <c r="B30" s="12"/>
      <c r="C30" s="13"/>
    </row>
    <row r="31" ht="20" customHeight="1" spans="1:3" x14ac:dyDescent="0.25">
      <c r="A31" s="16"/>
      <c r="B31" s="12"/>
      <c r="C31" s="13"/>
    </row>
    <row r="32" ht="20" customHeight="1" spans="1:3" x14ac:dyDescent="0.25">
      <c r="A32" s="16"/>
      <c r="B32" s="12"/>
      <c r="C32" s="13"/>
    </row>
    <row r="33" ht="20" customHeight="1" spans="1:3" x14ac:dyDescent="0.25">
      <c r="A33" s="16"/>
      <c r="B33" s="12"/>
      <c r="C33" s="13"/>
    </row>
    <row r="34" ht="20" customHeight="1" spans="1:3" x14ac:dyDescent="0.25">
      <c r="A34" s="16"/>
      <c r="B34" s="12"/>
      <c r="C34" s="13"/>
    </row>
    <row r="35" ht="20" customHeight="1" spans="1:3" x14ac:dyDescent="0.25">
      <c r="A35" s="16"/>
      <c r="B35" s="12"/>
      <c r="C35" s="13"/>
    </row>
    <row r="36" ht="20" customHeight="1" spans="1:3" x14ac:dyDescent="0.25">
      <c r="A36" s="16"/>
      <c r="B36" s="12"/>
      <c r="C36" s="13"/>
    </row>
    <row r="37" ht="20" customHeight="1" spans="1:3" x14ac:dyDescent="0.25">
      <c r="A37" s="16"/>
      <c r="B37" s="12"/>
      <c r="C37" s="13"/>
    </row>
    <row r="38" ht="20" customHeight="1" spans="1:3" x14ac:dyDescent="0.25">
      <c r="A38" s="16"/>
      <c r="B38" s="12"/>
      <c r="C38" s="13"/>
    </row>
    <row r="39" ht="20" customHeight="1" spans="1:3" x14ac:dyDescent="0.25">
      <c r="A39" s="16"/>
      <c r="B39" s="12"/>
      <c r="C39" s="13"/>
    </row>
    <row r="40" ht="20" customHeight="1" spans="1:3" x14ac:dyDescent="0.25">
      <c r="A40" s="16"/>
      <c r="B40" s="12"/>
      <c r="C40" s="13"/>
    </row>
    <row r="41" ht="20" customHeight="1" spans="1:3" x14ac:dyDescent="0.25">
      <c r="A41" s="16"/>
      <c r="B41" s="12"/>
      <c r="C41" s="13"/>
    </row>
    <row r="42" ht="20" customHeight="1" spans="1:3" x14ac:dyDescent="0.25">
      <c r="A42" s="16"/>
      <c r="B42" s="12"/>
      <c r="C42" s="13"/>
    </row>
    <row r="43" ht="20" customHeight="1" spans="1:3" x14ac:dyDescent="0.25">
      <c r="A43" s="16"/>
      <c r="B43" s="12"/>
      <c r="C43" s="13"/>
    </row>
    <row r="44" ht="20" customHeight="1" spans="1:3" x14ac:dyDescent="0.25">
      <c r="A44" s="16"/>
      <c r="B44" s="12"/>
      <c r="C44" s="13"/>
    </row>
  </sheetData>
  <mergeCells count="3">
    <mergeCell ref="A1:C1"/>
    <mergeCell ref="A2:C2"/>
    <mergeCell ref="A3:C3"/>
  </mergeCells>
  <dataValidations count="2">
    <dataValidation type="list" showInputMessage="1" promptTitle="Input guidance" prompt="This field is required." showErrorMessage="1" errorStyle="stop" errorTitle="Invalid value" error="This field is required." sqref="B10:B44">
      <formula1>"INCOME,EXPENSE,SAVINGS"</formula1>
    </dataValidation>
    <dataValidation type="list" showInputMessage="1" promptTitle="Input guidance" prompt="This field is required." showErrorMessage="1" errorStyle="stop" errorTitle="Invalid value" error="This field is required." sqref="B5:B44">
      <formula1>"INCOME,EXPENSE,SAVINGS"</formula1>
    </dataValidation>
  </dataValidations>
  <printOptions horizontalCentered="1"/>
  <pageMargins left="0.35" right="0.35" top="0.55" bottom="0.55" header="0.2" footer="0.2"/>
  <pageSetup paperSize="9" orientation="landscape" fitToWidth="1" fitToHeight="0"/>
  <headerFooter>
    <oddFooter>&amp;LNumberNinjaTees&amp;C&amp;F&amp;RPage &amp;P of &amp;N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65600"/>
    <pageSetUpPr fitToPage="1"/>
  </sheetPr>
  <dimension ref="A1:C4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 outlineLevelRow="0" outlineLevelCol="0" x14ac:dyDescent="55" customHeight="1"/>
  <cols>
    <col min="1" max="1" width="10" style="17" customWidth="1"/>
    <col min="2" max="2" width="24" style="1" customWidth="1"/>
    <col min="3" max="3" width="80" style="1" customWidth="1"/>
  </cols>
  <sheetData>
    <row r="1" ht="34" customHeight="1" spans="1:3" x14ac:dyDescent="0.25">
      <c r="A1" s="18" t="s">
        <v>0</v>
      </c>
      <c r="B1" s="18"/>
      <c r="C1" s="18"/>
    </row>
    <row r="2" ht="30" customHeight="1" spans="1:3" x14ac:dyDescent="0.25">
      <c r="A2" s="19" t="s">
        <v>1</v>
      </c>
      <c r="B2" s="19"/>
      <c r="C2" s="19"/>
    </row>
    <row r="3" ht="22" customHeight="1" spans="1:3" x14ac:dyDescent="0.25">
      <c r="A3" s="20" t="s">
        <v>2</v>
      </c>
      <c r="B3" s="20"/>
      <c r="C3" s="20"/>
    </row>
    <row r="4" ht="26" customHeight="1" spans="1:3" x14ac:dyDescent="0.25">
      <c r="A4" s="21" t="s">
        <v>49</v>
      </c>
      <c r="B4" s="6" t="s">
        <v>8</v>
      </c>
      <c r="C4" s="6" t="s">
        <v>3</v>
      </c>
    </row>
  </sheetData>
  <mergeCells count="3">
    <mergeCell ref="A1:C1"/>
    <mergeCell ref="A2:C2"/>
    <mergeCell ref="A3:C3"/>
  </mergeCells>
  <printOptions horizontalCentered="1"/>
  <pageMargins left="0.35" right="0.35" top="0.55" bottom="0.55" header="0.2" footer="0.2"/>
  <pageSetup paperSize="9" orientation="landscape" fitToWidth="1" fitToHeight="0"/>
  <headerFooter>
    <oddFooter>&amp;LNumberNinjaTees&amp;C&amp;F&amp;RPage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Subscriptions</vt:lpstr>
      <vt:lpstr>Categories</vt:lpstr>
      <vt:lpstr>Instructions</vt:lpstr>
    </vt:vector>
  </TitlesOfParts>
  <Company>NumberNinjaTees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NumberNinjaTees Finance Product Factory</dc:creator>
  <dc:title>Subscription Tracker</dc:title>
  <dc:subject>Monitor recurring costs, renewal dates and potential savings.</dc:subject>
  <dc:description>subscription-tracker 1.0.0; en-US; USD; generated locally.</dc:description>
  <cp:keywords>subscriptions, recurring-costs, savings, en-US, USD</cp:keywords>
  <cp:category>expense-management</cp:category>
  <cp:lastModifiedBy>NumberNinjaTees Finance Product Factory</cp:lastModifiedBy>
  <cp:lastPrinted>2026-07-15T17:46:35Z</cp:lastPrinted>
  <dcterms:created xsi:type="dcterms:W3CDTF">2026-07-15T17:46:35Z</dcterms:created>
  <dcterms:modified xsi:type="dcterms:W3CDTF">2026-07-15T17:46:35Z</dcterms:modified>
</cp:coreProperties>
</file>
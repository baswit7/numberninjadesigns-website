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Übersicht" state="visible" r:id="rId4"/>
    <sheet sheetId="2" name="Monatsbudget" state="visible" r:id="rId5"/>
    <sheet sheetId="3" name="Einnahmen" state="visible" r:id="rId6"/>
    <sheet sheetId="4" name="Ausgaben" state="visible" r:id="rId7"/>
    <sheet sheetId="5" name="Kategorien" state="visible" r:id="rId8"/>
    <sheet sheetId="6" name="Anleitung" state="visible" r:id="rId9"/>
  </sheets>
  <definedNames>
    <definedName name="_xlnm.Print_Area" localSheetId="0">'Übersicht'!$A1:$B7</definedName>
    <definedName name="_xlnm.Print_Titles" localSheetId="0">'Übersicht'!$1:$4</definedName>
    <definedName name="_xlnm.Print_Area" localSheetId="1">'Monatsbudget'!$A1:$F104</definedName>
    <definedName name="_xlnm.Print_Titles" localSheetId="1">'Monatsbudget'!$1:$4</definedName>
    <definedName name="_xlnm.Print_Area" localSheetId="2">'Einnahmen'!$A1:$D104</definedName>
    <definedName name="_xlnm.Print_Titles" localSheetId="2">'Einnahmen'!$1:$4</definedName>
    <definedName name="_xlnm.Print_Area" localSheetId="3">'Ausgaben'!$A1:$D104</definedName>
    <definedName name="_xlnm.Print_Titles" localSheetId="3">'Ausgaben'!$1:$4</definedName>
    <definedName name="_xlnm.Print_Area" localSheetId="4">'Kategorien'!$A1:$C44</definedName>
    <definedName name="_xlnm.Print_Titles" localSheetId="4">'Kategorien'!$1:$4</definedName>
    <definedName name="_xlnm.Print_Area" localSheetId="5">'Anleitung'!$A1:$C9</definedName>
    <definedName name="_xlnm.Print_Titles" localSheetId="5">'Anleitung'!$1:$4</definedName>
  </definedNames>
  <calcPr calcId="171027" fullCalcOnLoad="1"/>
</workbook>
</file>

<file path=xl/sharedStrings.xml><?xml version="1.0" encoding="utf-8"?>
<sst xmlns="http://schemas.openxmlformats.org/spreadsheetml/2006/main" count="92" uniqueCount="42">
  <si>
    <t>Monthly Budget Planner</t>
  </si>
  <si>
    <t>Feste und variable Kosten, Sparen und Restbudget monatlich planen.</t>
  </si>
  <si>
    <t>de-DE · EUR · 2026 · soft-pastel</t>
  </si>
  <si>
    <t>Beschreibung</t>
  </si>
  <si>
    <t>Wert</t>
  </si>
  <si>
    <t>Total Income</t>
  </si>
  <si>
    <t>Total Expenses</t>
  </si>
  <si>
    <t>Remaining Budget</t>
  </si>
  <si>
    <t>Monat</t>
  </si>
  <si>
    <t>Kategorie</t>
  </si>
  <si>
    <t>Geplant</t>
  </si>
  <si>
    <t>Tatsächlich</t>
  </si>
  <si>
    <t>Verbleibend</t>
  </si>
  <si>
    <t>Status</t>
  </si>
  <si>
    <t>JAN</t>
  </si>
  <si>
    <t>Housing</t>
  </si>
  <si>
    <t>Utilities</t>
  </si>
  <si>
    <t>Groceries</t>
  </si>
  <si>
    <t>Transport</t>
  </si>
  <si>
    <t>Emergency Savings</t>
  </si>
  <si>
    <t>Datum</t>
  </si>
  <si>
    <t>Betrag</t>
  </si>
  <si>
    <t>Monthly salary</t>
  </si>
  <si>
    <t>Salary</t>
  </si>
  <si>
    <t>Freelance project</t>
  </si>
  <si>
    <t>Freelance Income</t>
  </si>
  <si>
    <t>Housing payment</t>
  </si>
  <si>
    <t>Energy and water</t>
  </si>
  <si>
    <t>Household groceries</t>
  </si>
  <si>
    <t>Public transport</t>
  </si>
  <si>
    <t>Emergency fund transfer</t>
  </si>
  <si>
    <t>Typ</t>
  </si>
  <si>
    <t>INCOME</t>
  </si>
  <si>
    <t>EXPENSE</t>
  </si>
  <si>
    <t>Insurance</t>
  </si>
  <si>
    <t>Healthcare</t>
  </si>
  <si>
    <t>Entertainment</t>
  </si>
  <si>
    <t>SAVINGS</t>
  </si>
  <si>
    <t>Long-term Savings</t>
  </si>
  <si>
    <t>100</t>
  </si>
  <si>
    <t>Schritt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</si>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</sst>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€&quot;* #,##0.00_-;[Red]-&quot;€&quot;* #,##0.00_-;_-&quot;€&quot;* &quot;-&quot;??_-"/>
    <numFmt numFmtId="165" formatCode="dd.mm.yyyy"/>
  </numFmts>
  <fonts count="5" x14ac:knownFonts="1">
    <font>
      <color theme="1"/>
      <family val="2"/>
      <scheme val="minor"/>
      <sz val="11"/>
      <name val="Calibri"/>
    </font>
    <font>
      <b/>
      <color rgb="FF2E2530"/>
      <sz val="20"/>
      <name val="Aptos Display"/>
    </font>
    <font>
      <color rgb="FF2E2530"/>
      <sz val="10"/>
      <name val="Aptos"/>
    </font>
    <font>
      <color rgb="FF665B68"/>
      <sz val="9"/>
      <name val="Cascadia Mono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FFF9FC"/>
      </patternFill>
    </fill>
    <fill>
      <patternFill patternType="solid">
        <fgColor rgb="FFFFFFFF"/>
      </patternFill>
    </fill>
    <fill>
      <patternFill patternType="solid">
        <fgColor rgb="FF17645B"/>
      </patternFill>
    </fill>
    <fill>
      <patternFill patternType="solid">
        <fgColor rgb="FFFFF0C7"/>
      </patternFill>
    </fill>
    <fill>
      <patternFill patternType="solid">
        <fgColor rgb="FFEDE3EB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9FC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vertical="center" wrapText="1"/>
    </xf>
    <xf numFmtId="164" fontId="3" fillId="0" borderId="0" xfId="0" applyNumberFormat="1" applyFont="1" applyAlignment="1">
      <alignment vertical="center"/>
    </xf>
    <xf numFmtId="49" fontId="4" fillId="4" borderId="1" xfId="0" applyNumberFormat="1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Protection="1"/>
    <xf numFmtId="164" fontId="0" fillId="0" borderId="0" xfId="0" applyNumberFormat="1" applyProtection="1">
      <protection hidden="1"/>
    </xf>
    <xf numFmtId="49" fontId="1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2" fillId="5" borderId="0" xfId="0" applyNumberFormat="1" applyFont="1" applyFill="1" applyAlignment="1" applyProtection="1">
      <alignment horizontal="left" vertical="center"/>
      <protection locked="0"/>
    </xf>
    <xf numFmtId="164" fontId="2" fillId="5" borderId="0" xfId="0" applyNumberFormat="1" applyFont="1" applyFill="1" applyAlignment="1" applyProtection="1">
      <alignment horizontal="right" vertical="center"/>
      <protection locked="0"/>
    </xf>
    <xf numFmtId="164" fontId="2" fillId="6" borderId="0" xfId="0" applyNumberFormat="1" applyFont="1" applyFill="1" applyAlignment="1" applyProtection="1">
      <alignment horizontal="right" vertical="center"/>
      <protection hidden="1"/>
    </xf>
    <xf numFmtId="49" fontId="2" fillId="6" borderId="0" xfId="0" applyNumberFormat="1" applyFont="1" applyFill="1" applyAlignment="1" applyProtection="1">
      <alignment horizontal="right" vertical="center"/>
      <protection hidden="1"/>
    </xf>
    <xf numFmtId="165" fontId="0" fillId="0" borderId="0" xfId="0" applyNumberFormat="1"/>
    <xf numFmtId="165" fontId="4" fillId="4" borderId="1" xfId="0" applyNumberFormat="1" applyFont="1" applyFill="1" applyBorder="1" applyAlignment="1">
      <alignment horizontal="left" vertical="center" wrapText="1"/>
    </xf>
    <xf numFmtId="165" fontId="2" fillId="5" borderId="0" xfId="0" applyNumberFormat="1" applyFont="1" applyFill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left" vertical="center"/>
    </xf>
    <xf numFmtId="1" fontId="0" fillId="0" borderId="0" xfId="0" applyNumberFormat="1"/>
    <xf numFmtId="1" fontId="4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91B1B"/>
      </font>
      <fill>
        <patternFill patternType="solid">
          <fgColor rgb="FFFDE8E7"/>
          <bgColor rgb="FFFDE8E7"/>
        </patternFill>
      </fill>
    </dxf>
    <dxf>
      <font>
        <color rgb="FF116149"/>
      </font>
      <fill>
        <patternFill patternType="solid">
          <fgColor rgb="FFE6F4EA"/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monthly_budget_planner_monthly_budget" displayName="T_monthly_budget_planner_monthly_budget" ref="A4:F104" totalsRowShown="1" headerRowCount="1">
  <autoFilter ref="A4:F10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Monat" totalsRowLabel="Total"/>
    <tableColumn id="2" name="Kategorie" totalsRowFunction="none"/>
    <tableColumn id="3" name="Geplant" totalsRowFunction="none"/>
    <tableColumn id="4" name="Tatsächlich" totalsRowFunction="none"/>
    <tableColumn id="5" name="Verbleibend" totalsRowFunction="none"/>
    <tableColumn id="6" name="Statu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monthly_budget_planner_income" displayName="T_monthly_budget_planner_income" ref="A4:D104" totalsRowShown="1" headerRowCount="1">
  <autoFilter ref="A4:D104">
    <filterColumn colId="0" hiddenButton="0"/>
    <filterColumn colId="1" hiddenButton="0"/>
    <filterColumn colId="2" hiddenButton="0"/>
    <filterColumn colId="3" hiddenButton="0"/>
  </autoFilter>
  <tableColumns count="4">
    <tableColumn id="1" name="Datum" totalsRowLabel="Total"/>
    <tableColumn id="2" name="Beschreibung" totalsRowFunction="none"/>
    <tableColumn id="3" name="Kategorie" totalsRowFunction="none"/>
    <tableColumn id="4" name="Betrag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monthly_budget_planner_expenses" displayName="T_monthly_budget_planner_expenses" ref="A4:D104" totalsRowShown="1" headerRowCount="1">
  <autoFilter ref="A4:D104">
    <filterColumn colId="0" hiddenButton="0"/>
    <filterColumn colId="1" hiddenButton="0"/>
    <filterColumn colId="2" hiddenButton="0"/>
    <filterColumn colId="3" hiddenButton="0"/>
  </autoFilter>
  <tableColumns count="4">
    <tableColumn id="1" name="Datum" totalsRowLabel="Total"/>
    <tableColumn id="2" name="Beschreibung" totalsRowFunction="none"/>
    <tableColumn id="3" name="Kategorie" totalsRowFunction="none"/>
    <tableColumn id="4" name="Betrag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monthly_budget_planner_categories" displayName="T_monthly_budget_planner_categories" ref="A4:C44" totalsRowShown="1" headerRowCount="1">
  <autoFilter ref="A4:C44">
    <filterColumn colId="0" hiddenButton="0"/>
    <filterColumn colId="1" hiddenButton="0"/>
    <filterColumn colId="2" hiddenButton="0"/>
  </autoFilter>
  <tableColumns count="3">
    <tableColumn id="1" name="Kategorie" totalsRowLabel="Total"/>
    <tableColumn id="2" name="Typ" totalsRowFunction="none"/>
    <tableColumn id="3" name="Geplan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645B"/>
    <pageSetUpPr fitToPage="1"/>
  </sheetPr>
  <dimension ref="A1:B7"/>
  <sheetViews>
    <sheetView workbookViewId="0" showGridLines="0"/>
  </sheetViews>
  <sheetFormatPr defaultRowHeight="20" outlineLevelRow="0" outlineLevelCol="0" x14ac:dyDescent="55" customHeight="1"/>
  <cols>
    <col min="1" max="1" width="28" style="1" customWidth="1"/>
    <col min="2" max="2" width="18" style="2" customWidth="1"/>
  </cols>
  <sheetData>
    <row r="1" ht="34" customHeight="1" spans="1:2" x14ac:dyDescent="0.25">
      <c r="A1" s="3" t="s">
        <v>0</v>
      </c>
      <c r="B1" s="3"/>
    </row>
    <row r="2" ht="30" customHeight="1" spans="1:2" x14ac:dyDescent="0.25">
      <c r="A2" s="4" t="s">
        <v>1</v>
      </c>
      <c r="B2" s="4"/>
    </row>
    <row r="3" ht="22" customHeight="1" spans="1:2" x14ac:dyDescent="0.25">
      <c r="A3" s="5" t="s">
        <v>2</v>
      </c>
      <c r="B3" s="5"/>
    </row>
    <row r="4" ht="26" customHeight="1" spans="1:2" x14ac:dyDescent="0.25">
      <c r="A4" s="6" t="s">
        <v>3</v>
      </c>
      <c r="B4" s="7" t="s">
        <v>4</v>
      </c>
    </row>
    <row r="5" spans="1:2" x14ac:dyDescent="0.25">
      <c r="A5" s="8" t="s">
        <v>5</v>
      </c>
      <c r="B5" s="9">
        <f>SUM('Einnahmen'!$D$5:$D$104)</f>
        <v>0</v>
      </c>
    </row>
    <row r="6" spans="1:2" x14ac:dyDescent="0.25">
      <c r="A6" s="8" t="s">
        <v>6</v>
      </c>
      <c r="B6" s="9">
        <f>SUM('Ausgaben'!$D$5:$D$104)</f>
        <v>0</v>
      </c>
    </row>
    <row r="7" spans="1:2" x14ac:dyDescent="0.25">
      <c r="A7" s="8" t="s">
        <v>7</v>
      </c>
      <c r="B7" s="9">
        <f>'Übersicht'!B5-'Übersicht'!B6</f>
        <v>0</v>
      </c>
    </row>
  </sheetData>
  <sheetProtection sheet="1" autoFilter="0" algorithmName="SHA-512" hashValue="tZR8kh3u2MZnPES/BBddSI2q8zs+BC4UN71+ZJztVau/ziJuM0PJ2c5IIAQBKknRfxIJP9rVNXDhS1dSEap4WA==" saltValue="spkHE+QBVAW6aTxT70VPiQ==" spinCount="1000"/>
  <mergeCells count="3">
    <mergeCell ref="A1:B1"/>
    <mergeCell ref="A2:B2"/>
    <mergeCell ref="A3:B3"/>
  </mergeCell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645B"/>
    <pageSetUpPr fitToPage="1"/>
  </sheetPr>
  <dimension ref="A1:F10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14" style="1" customWidth="1"/>
    <col min="2" max="2" width="22" style="1" customWidth="1"/>
    <col min="3" max="5" width="16" style="2" customWidth="1"/>
    <col min="6" max="6" width="16" style="1" customWidth="1"/>
  </cols>
  <sheetData>
    <row r="1" ht="34" customHeight="1" spans="1:6" x14ac:dyDescent="0.25">
      <c r="A1" s="10" t="s">
        <v>0</v>
      </c>
      <c r="B1" s="10"/>
      <c r="C1" s="10"/>
      <c r="D1" s="10"/>
      <c r="E1" s="10"/>
      <c r="F1" s="10"/>
    </row>
    <row r="2" ht="30" customHeight="1" spans="1:6" x14ac:dyDescent="0.25">
      <c r="A2" s="11" t="s">
        <v>1</v>
      </c>
      <c r="B2" s="11"/>
      <c r="C2" s="11"/>
      <c r="D2" s="11"/>
      <c r="E2" s="11"/>
      <c r="F2" s="11"/>
    </row>
    <row r="3" ht="22" customHeight="1" spans="1:6" x14ac:dyDescent="0.25">
      <c r="A3" s="12" t="s">
        <v>2</v>
      </c>
      <c r="B3" s="12"/>
      <c r="C3" s="12"/>
      <c r="D3" s="12"/>
      <c r="E3" s="12"/>
      <c r="F3" s="12"/>
    </row>
    <row r="4" ht="26" customHeight="1" spans="1:6" x14ac:dyDescent="0.25">
      <c r="A4" s="6" t="s">
        <v>8</v>
      </c>
      <c r="B4" s="6" t="s">
        <v>9</v>
      </c>
      <c r="C4" s="7" t="s">
        <v>10</v>
      </c>
      <c r="D4" s="7" t="s">
        <v>11</v>
      </c>
      <c r="E4" s="7" t="s">
        <v>12</v>
      </c>
      <c r="F4" s="6" t="s">
        <v>13</v>
      </c>
    </row>
    <row r="5" ht="20" customHeight="1" spans="1:6" x14ac:dyDescent="0.25">
      <c r="A5" s="13" t="s">
        <v>14</v>
      </c>
      <c r="B5" s="13" t="s">
        <v>15</v>
      </c>
      <c r="C5" s="14">
        <v>1200</v>
      </c>
      <c r="D5" s="15">
        <f>SUMIFS('Ausgaben'!$D$5:$D$104,'Ausgaben'!$C$5:$C$104,B5,'Ausgaben'!$A$5:$A$104,"&gt;="&amp;DATE(2026,MATCH(A5,{"JAN","FEB","MAR","APR","MAY","JUN","JUL","AUG","SEP","OCT","NOV","DEC"},0),1),'Ausgaben'!$A$5:$A$104,"&lt;"&amp;EDATE(DATE(2026,MATCH(A5,{"JAN","FEB","MAR","APR","MAY","JUN","JUL","AUG","SEP","OCT","NOV","DEC"},0),1),1))</f>
        <v>0</v>
      </c>
      <c r="E5" s="15">
        <f>C5-D5</f>
        <v>0</v>
      </c>
      <c r="F5" s="16">
        <f>IF(D5&lt;=C5,"ON_TRACK","OVER_BUDGET")</f>
        <v>0</v>
      </c>
    </row>
    <row r="6" ht="20" customHeight="1" spans="1:6" x14ac:dyDescent="0.25">
      <c r="A6" s="13" t="s">
        <v>14</v>
      </c>
      <c r="B6" s="13" t="s">
        <v>16</v>
      </c>
      <c r="C6" s="14">
        <v>240</v>
      </c>
      <c r="D6" s="15">
        <f>SUMIFS('Ausgaben'!$D$5:$D$104,'Ausgaben'!$C$5:$C$104,B6,'Ausgaben'!$A$5:$A$104,"&gt;="&amp;DATE(2026,MATCH(A6,{"JAN","FEB","MAR","APR","MAY","JUN","JUL","AUG","SEP","OCT","NOV","DEC"},0),1),'Ausgaben'!$A$5:$A$104,"&lt;"&amp;EDATE(DATE(2026,MATCH(A6,{"JAN","FEB","MAR","APR","MAY","JUN","JUL","AUG","SEP","OCT","NOV","DEC"},0),1),1))</f>
        <v>0</v>
      </c>
      <c r="E6" s="15">
        <f>C6-D6</f>
        <v>0</v>
      </c>
      <c r="F6" s="16">
        <f>IF(D6&lt;=C6,"ON_TRACK","OVER_BUDGET")</f>
        <v>0</v>
      </c>
    </row>
    <row r="7" ht="20" customHeight="1" spans="1:6" x14ac:dyDescent="0.25">
      <c r="A7" s="13" t="s">
        <v>14</v>
      </c>
      <c r="B7" s="13" t="s">
        <v>17</v>
      </c>
      <c r="C7" s="14">
        <v>500</v>
      </c>
      <c r="D7" s="15">
        <f>SUMIFS('Ausgaben'!$D$5:$D$104,'Ausgaben'!$C$5:$C$104,B7,'Ausgaben'!$A$5:$A$104,"&gt;="&amp;DATE(2026,MATCH(A7,{"JAN","FEB","MAR","APR","MAY","JUN","JUL","AUG","SEP","OCT","NOV","DEC"},0),1),'Ausgaben'!$A$5:$A$104,"&lt;"&amp;EDATE(DATE(2026,MATCH(A7,{"JAN","FEB","MAR","APR","MAY","JUN","JUL","AUG","SEP","OCT","NOV","DEC"},0),1),1))</f>
        <v>0</v>
      </c>
      <c r="E7" s="15">
        <f>C7-D7</f>
        <v>0</v>
      </c>
      <c r="F7" s="16">
        <f>IF(D7&lt;=C7,"ON_TRACK","OVER_BUDGET")</f>
        <v>0</v>
      </c>
    </row>
    <row r="8" ht="20" customHeight="1" spans="1:6" x14ac:dyDescent="0.25">
      <c r="A8" s="13" t="s">
        <v>14</v>
      </c>
      <c r="B8" s="13" t="s">
        <v>18</v>
      </c>
      <c r="C8" s="14">
        <v>250</v>
      </c>
      <c r="D8" s="15">
        <f>SUMIFS('Ausgaben'!$D$5:$D$104,'Ausgaben'!$C$5:$C$104,B8,'Ausgaben'!$A$5:$A$104,"&gt;="&amp;DATE(2026,MATCH(A8,{"JAN","FEB","MAR","APR","MAY","JUN","JUL","AUG","SEP","OCT","NOV","DEC"},0),1),'Ausgaben'!$A$5:$A$104,"&lt;"&amp;EDATE(DATE(2026,MATCH(A8,{"JAN","FEB","MAR","APR","MAY","JUN","JUL","AUG","SEP","OCT","NOV","DEC"},0),1),1))</f>
        <v>0</v>
      </c>
      <c r="E8" s="15">
        <f>C8-D8</f>
        <v>0</v>
      </c>
      <c r="F8" s="16">
        <f>IF(D8&lt;=C8,"ON_TRACK","OVER_BUDGET")</f>
        <v>0</v>
      </c>
    </row>
    <row r="9" ht="20" customHeight="1" spans="1:6" x14ac:dyDescent="0.25">
      <c r="A9" s="13" t="s">
        <v>14</v>
      </c>
      <c r="B9" s="13" t="s">
        <v>19</v>
      </c>
      <c r="C9" s="14">
        <v>300</v>
      </c>
      <c r="D9" s="15">
        <f>SUMIFS('Ausgaben'!$D$5:$D$104,'Ausgaben'!$C$5:$C$104,B9,'Ausgaben'!$A$5:$A$104,"&gt;="&amp;DATE(2026,MATCH(A9,{"JAN","FEB","MAR","APR","MAY","JUN","JUL","AUG","SEP","OCT","NOV","DEC"},0),1),'Ausgaben'!$A$5:$A$104,"&lt;"&amp;EDATE(DATE(2026,MATCH(A9,{"JAN","FEB","MAR","APR","MAY","JUN","JUL","AUG","SEP","OCT","NOV","DEC"},0),1),1))</f>
        <v>0</v>
      </c>
      <c r="E9" s="15">
        <f>C9-D9</f>
        <v>0</v>
      </c>
      <c r="F9" s="16">
        <f>IF(D9&lt;=C9,"ON_TRACK","OVER_BUDGET")</f>
        <v>0</v>
      </c>
    </row>
    <row r="10" ht="20" customHeight="1" spans="1:6" x14ac:dyDescent="0.25">
      <c r="A10" s="13"/>
      <c r="B10" s="13"/>
      <c r="C10" s="14"/>
      <c r="D10" s="15">
        <f>SUMIFS('Ausgaben'!$D$5:$D$104,'Ausgaben'!$C$5:$C$104,B10,'Ausgaben'!$A$5:$A$104,"&gt;="&amp;DATE(2026,MATCH(A10,{"JAN","FEB","MAR","APR","MAY","JUN","JUL","AUG","SEP","OCT","NOV","DEC"},0),1),'Ausgaben'!$A$5:$A$104,"&lt;"&amp;EDATE(DATE(2026,MATCH(A10,{"JAN","FEB","MAR","APR","MAY","JUN","JUL","AUG","SEP","OCT","NOV","DEC"},0),1),1))</f>
        <v>0</v>
      </c>
      <c r="E10" s="15">
        <f>C10-D10</f>
        <v>0</v>
      </c>
      <c r="F10" s="16">
        <f>IF(D10&lt;=C10,"ON_TRACK","OVER_BUDGET")</f>
        <v>0</v>
      </c>
    </row>
    <row r="11" ht="20" customHeight="1" spans="1:6" x14ac:dyDescent="0.25">
      <c r="A11" s="13"/>
      <c r="B11" s="13"/>
      <c r="C11" s="14"/>
      <c r="D11" s="15">
        <f>SUMIFS('Ausgaben'!$D$5:$D$104,'Ausgaben'!$C$5:$C$104,B11,'Ausgaben'!$A$5:$A$104,"&gt;="&amp;DATE(2026,MATCH(A11,{"JAN","FEB","MAR","APR","MAY","JUN","JUL","AUG","SEP","OCT","NOV","DEC"},0),1),'Ausgaben'!$A$5:$A$104,"&lt;"&amp;EDATE(DATE(2026,MATCH(A11,{"JAN","FEB","MAR","APR","MAY","JUN","JUL","AUG","SEP","OCT","NOV","DEC"},0),1),1))</f>
        <v>0</v>
      </c>
      <c r="E11" s="15">
        <f>C11-D11</f>
        <v>0</v>
      </c>
      <c r="F11" s="16">
        <f>IF(D11&lt;=C11,"ON_TRACK","OVER_BUDGET")</f>
        <v>0</v>
      </c>
    </row>
    <row r="12" ht="20" customHeight="1" spans="1:6" x14ac:dyDescent="0.25">
      <c r="A12" s="13"/>
      <c r="B12" s="13"/>
      <c r="C12" s="14"/>
      <c r="D12" s="15">
        <f>SUMIFS('Ausgaben'!$D$5:$D$104,'Ausgaben'!$C$5:$C$104,B12,'Ausgaben'!$A$5:$A$104,"&gt;="&amp;DATE(2026,MATCH(A12,{"JAN","FEB","MAR","APR","MAY","JUN","JUL","AUG","SEP","OCT","NOV","DEC"},0),1),'Ausgaben'!$A$5:$A$104,"&lt;"&amp;EDATE(DATE(2026,MATCH(A12,{"JAN","FEB","MAR","APR","MAY","JUN","JUL","AUG","SEP","OCT","NOV","DEC"},0),1),1))</f>
        <v>0</v>
      </c>
      <c r="E12" s="15">
        <f>C12-D12</f>
        <v>0</v>
      </c>
      <c r="F12" s="16">
        <f>IF(D12&lt;=C12,"ON_TRACK","OVER_BUDGET")</f>
        <v>0</v>
      </c>
    </row>
    <row r="13" ht="20" customHeight="1" spans="1:6" x14ac:dyDescent="0.25">
      <c r="A13" s="13"/>
      <c r="B13" s="13"/>
      <c r="C13" s="14"/>
      <c r="D13" s="15">
        <f>SUMIFS('Ausgaben'!$D$5:$D$104,'Ausgaben'!$C$5:$C$104,B13,'Ausgaben'!$A$5:$A$104,"&gt;="&amp;DATE(2026,MATCH(A13,{"JAN","FEB","MAR","APR","MAY","JUN","JUL","AUG","SEP","OCT","NOV","DEC"},0),1),'Ausgaben'!$A$5:$A$104,"&lt;"&amp;EDATE(DATE(2026,MATCH(A13,{"JAN","FEB","MAR","APR","MAY","JUN","JUL","AUG","SEP","OCT","NOV","DEC"},0),1),1))</f>
        <v>0</v>
      </c>
      <c r="E13" s="15">
        <f>C13-D13</f>
        <v>0</v>
      </c>
      <c r="F13" s="16">
        <f>IF(D13&lt;=C13,"ON_TRACK","OVER_BUDGET")</f>
        <v>0</v>
      </c>
    </row>
    <row r="14" ht="20" customHeight="1" spans="1:6" x14ac:dyDescent="0.25">
      <c r="A14" s="13"/>
      <c r="B14" s="13"/>
      <c r="C14" s="14"/>
      <c r="D14" s="15">
        <f>SUMIFS('Ausgaben'!$D$5:$D$104,'Ausgaben'!$C$5:$C$104,B14,'Ausgaben'!$A$5:$A$104,"&gt;="&amp;DATE(2026,MATCH(A14,{"JAN","FEB","MAR","APR","MAY","JUN","JUL","AUG","SEP","OCT","NOV","DEC"},0),1),'Ausgaben'!$A$5:$A$104,"&lt;"&amp;EDATE(DATE(2026,MATCH(A14,{"JAN","FEB","MAR","APR","MAY","JUN","JUL","AUG","SEP","OCT","NOV","DEC"},0),1),1))</f>
        <v>0</v>
      </c>
      <c r="E14" s="15">
        <f>C14-D14</f>
        <v>0</v>
      </c>
      <c r="F14" s="16">
        <f>IF(D14&lt;=C14,"ON_TRACK","OVER_BUDGET")</f>
        <v>0</v>
      </c>
    </row>
    <row r="15" ht="20" customHeight="1" spans="1:6" x14ac:dyDescent="0.25">
      <c r="A15" s="13"/>
      <c r="B15" s="13"/>
      <c r="C15" s="14"/>
      <c r="D15" s="15">
        <f>SUMIFS('Ausgaben'!$D$5:$D$104,'Ausgaben'!$C$5:$C$104,B15,'Ausgaben'!$A$5:$A$104,"&gt;="&amp;DATE(2026,MATCH(A15,{"JAN","FEB","MAR","APR","MAY","JUN","JUL","AUG","SEP","OCT","NOV","DEC"},0),1),'Ausgaben'!$A$5:$A$104,"&lt;"&amp;EDATE(DATE(2026,MATCH(A15,{"JAN","FEB","MAR","APR","MAY","JUN","JUL","AUG","SEP","OCT","NOV","DEC"},0),1),1))</f>
        <v>0</v>
      </c>
      <c r="E15" s="15">
        <f>C15-D15</f>
        <v>0</v>
      </c>
      <c r="F15" s="16">
        <f>IF(D15&lt;=C15,"ON_TRACK","OVER_BUDGET")</f>
        <v>0</v>
      </c>
    </row>
    <row r="16" ht="20" customHeight="1" spans="1:6" x14ac:dyDescent="0.25">
      <c r="A16" s="13"/>
      <c r="B16" s="13"/>
      <c r="C16" s="14"/>
      <c r="D16" s="15">
        <f>SUMIFS('Ausgaben'!$D$5:$D$104,'Ausgaben'!$C$5:$C$104,B16,'Ausgaben'!$A$5:$A$104,"&gt;="&amp;DATE(2026,MATCH(A16,{"JAN","FEB","MAR","APR","MAY","JUN","JUL","AUG","SEP","OCT","NOV","DEC"},0),1),'Ausgaben'!$A$5:$A$104,"&lt;"&amp;EDATE(DATE(2026,MATCH(A16,{"JAN","FEB","MAR","APR","MAY","JUN","JUL","AUG","SEP","OCT","NOV","DEC"},0),1),1))</f>
        <v>0</v>
      </c>
      <c r="E16" s="15">
        <f>C16-D16</f>
        <v>0</v>
      </c>
      <c r="F16" s="16">
        <f>IF(D16&lt;=C16,"ON_TRACK","OVER_BUDGET")</f>
        <v>0</v>
      </c>
    </row>
    <row r="17" ht="20" customHeight="1" spans="1:6" x14ac:dyDescent="0.25">
      <c r="A17" s="13"/>
      <c r="B17" s="13"/>
      <c r="C17" s="14"/>
      <c r="D17" s="15">
        <f>SUMIFS('Ausgaben'!$D$5:$D$104,'Ausgaben'!$C$5:$C$104,B17,'Ausgaben'!$A$5:$A$104,"&gt;="&amp;DATE(2026,MATCH(A17,{"JAN","FEB","MAR","APR","MAY","JUN","JUL","AUG","SEP","OCT","NOV","DEC"},0),1),'Ausgaben'!$A$5:$A$104,"&lt;"&amp;EDATE(DATE(2026,MATCH(A17,{"JAN","FEB","MAR","APR","MAY","JUN","JUL","AUG","SEP","OCT","NOV","DEC"},0),1),1))</f>
        <v>0</v>
      </c>
      <c r="E17" s="15">
        <f>C17-D17</f>
        <v>0</v>
      </c>
      <c r="F17" s="16">
        <f>IF(D17&lt;=C17,"ON_TRACK","OVER_BUDGET")</f>
        <v>0</v>
      </c>
    </row>
    <row r="18" ht="20" customHeight="1" spans="1:6" x14ac:dyDescent="0.25">
      <c r="A18" s="13"/>
      <c r="B18" s="13"/>
      <c r="C18" s="14"/>
      <c r="D18" s="15">
        <f>SUMIFS('Ausgaben'!$D$5:$D$104,'Ausgaben'!$C$5:$C$104,B18,'Ausgaben'!$A$5:$A$104,"&gt;="&amp;DATE(2026,MATCH(A18,{"JAN","FEB","MAR","APR","MAY","JUN","JUL","AUG","SEP","OCT","NOV","DEC"},0),1),'Ausgaben'!$A$5:$A$104,"&lt;"&amp;EDATE(DATE(2026,MATCH(A18,{"JAN","FEB","MAR","APR","MAY","JUN","JUL","AUG","SEP","OCT","NOV","DEC"},0),1),1))</f>
        <v>0</v>
      </c>
      <c r="E18" s="15">
        <f>C18-D18</f>
        <v>0</v>
      </c>
      <c r="F18" s="16">
        <f>IF(D18&lt;=C18,"ON_TRACK","OVER_BUDGET")</f>
        <v>0</v>
      </c>
    </row>
    <row r="19" ht="20" customHeight="1" spans="1:6" x14ac:dyDescent="0.25">
      <c r="A19" s="13"/>
      <c r="B19" s="13"/>
      <c r="C19" s="14"/>
      <c r="D19" s="15">
        <f>SUMIFS('Ausgaben'!$D$5:$D$104,'Ausgaben'!$C$5:$C$104,B19,'Ausgaben'!$A$5:$A$104,"&gt;="&amp;DATE(2026,MATCH(A19,{"JAN","FEB","MAR","APR","MAY","JUN","JUL","AUG","SEP","OCT","NOV","DEC"},0),1),'Ausgaben'!$A$5:$A$104,"&lt;"&amp;EDATE(DATE(2026,MATCH(A19,{"JAN","FEB","MAR","APR","MAY","JUN","JUL","AUG","SEP","OCT","NOV","DEC"},0),1),1))</f>
        <v>0</v>
      </c>
      <c r="E19" s="15">
        <f>C19-D19</f>
        <v>0</v>
      </c>
      <c r="F19" s="16">
        <f>IF(D19&lt;=C19,"ON_TRACK","OVER_BUDGET")</f>
        <v>0</v>
      </c>
    </row>
    <row r="20" ht="20" customHeight="1" spans="1:6" x14ac:dyDescent="0.25">
      <c r="A20" s="13"/>
      <c r="B20" s="13"/>
      <c r="C20" s="14"/>
      <c r="D20" s="15">
        <f>SUMIFS('Ausgaben'!$D$5:$D$104,'Ausgaben'!$C$5:$C$104,B20,'Ausgaben'!$A$5:$A$104,"&gt;="&amp;DATE(2026,MATCH(A20,{"JAN","FEB","MAR","APR","MAY","JUN","JUL","AUG","SEP","OCT","NOV","DEC"},0),1),'Ausgaben'!$A$5:$A$104,"&lt;"&amp;EDATE(DATE(2026,MATCH(A20,{"JAN","FEB","MAR","APR","MAY","JUN","JUL","AUG","SEP","OCT","NOV","DEC"},0),1),1))</f>
        <v>0</v>
      </c>
      <c r="E20" s="15">
        <f>C20-D20</f>
        <v>0</v>
      </c>
      <c r="F20" s="16">
        <f>IF(D20&lt;=C20,"ON_TRACK","OVER_BUDGET")</f>
        <v>0</v>
      </c>
    </row>
    <row r="21" ht="20" customHeight="1" spans="1:6" x14ac:dyDescent="0.25">
      <c r="A21" s="13"/>
      <c r="B21" s="13"/>
      <c r="C21" s="14"/>
      <c r="D21" s="15">
        <f>SUMIFS('Ausgaben'!$D$5:$D$104,'Ausgaben'!$C$5:$C$104,B21,'Ausgaben'!$A$5:$A$104,"&gt;="&amp;DATE(2026,MATCH(A21,{"JAN","FEB","MAR","APR","MAY","JUN","JUL","AUG","SEP","OCT","NOV","DEC"},0),1),'Ausgaben'!$A$5:$A$104,"&lt;"&amp;EDATE(DATE(2026,MATCH(A21,{"JAN","FEB","MAR","APR","MAY","JUN","JUL","AUG","SEP","OCT","NOV","DEC"},0),1),1))</f>
        <v>0</v>
      </c>
      <c r="E21" s="15">
        <f>C21-D21</f>
        <v>0</v>
      </c>
      <c r="F21" s="16">
        <f>IF(D21&lt;=C21,"ON_TRACK","OVER_BUDGET")</f>
        <v>0</v>
      </c>
    </row>
    <row r="22" ht="20" customHeight="1" spans="1:6" x14ac:dyDescent="0.25">
      <c r="A22" s="13"/>
      <c r="B22" s="13"/>
      <c r="C22" s="14"/>
      <c r="D22" s="15">
        <f>SUMIFS('Ausgaben'!$D$5:$D$104,'Ausgaben'!$C$5:$C$104,B22,'Ausgaben'!$A$5:$A$104,"&gt;="&amp;DATE(2026,MATCH(A22,{"JAN","FEB","MAR","APR","MAY","JUN","JUL","AUG","SEP","OCT","NOV","DEC"},0),1),'Ausgaben'!$A$5:$A$104,"&lt;"&amp;EDATE(DATE(2026,MATCH(A22,{"JAN","FEB","MAR","APR","MAY","JUN","JUL","AUG","SEP","OCT","NOV","DEC"},0),1),1))</f>
        <v>0</v>
      </c>
      <c r="E22" s="15">
        <f>C22-D22</f>
        <v>0</v>
      </c>
      <c r="F22" s="16">
        <f>IF(D22&lt;=C22,"ON_TRACK","OVER_BUDGET")</f>
        <v>0</v>
      </c>
    </row>
    <row r="23" ht="20" customHeight="1" spans="1:6" x14ac:dyDescent="0.25">
      <c r="A23" s="13"/>
      <c r="B23" s="13"/>
      <c r="C23" s="14"/>
      <c r="D23" s="15">
        <f>SUMIFS('Ausgaben'!$D$5:$D$104,'Ausgaben'!$C$5:$C$104,B23,'Ausgaben'!$A$5:$A$104,"&gt;="&amp;DATE(2026,MATCH(A23,{"JAN","FEB","MAR","APR","MAY","JUN","JUL","AUG","SEP","OCT","NOV","DEC"},0),1),'Ausgaben'!$A$5:$A$104,"&lt;"&amp;EDATE(DATE(2026,MATCH(A23,{"JAN","FEB","MAR","APR","MAY","JUN","JUL","AUG","SEP","OCT","NOV","DEC"},0),1),1))</f>
        <v>0</v>
      </c>
      <c r="E23" s="15">
        <f>C23-D23</f>
        <v>0</v>
      </c>
      <c r="F23" s="16">
        <f>IF(D23&lt;=C23,"ON_TRACK","OVER_BUDGET")</f>
        <v>0</v>
      </c>
    </row>
    <row r="24" ht="20" customHeight="1" spans="1:6" x14ac:dyDescent="0.25">
      <c r="A24" s="13"/>
      <c r="B24" s="13"/>
      <c r="C24" s="14"/>
      <c r="D24" s="15">
        <f>SUMIFS('Ausgaben'!$D$5:$D$104,'Ausgaben'!$C$5:$C$104,B24,'Ausgaben'!$A$5:$A$104,"&gt;="&amp;DATE(2026,MATCH(A24,{"JAN","FEB","MAR","APR","MAY","JUN","JUL","AUG","SEP","OCT","NOV","DEC"},0),1),'Ausgaben'!$A$5:$A$104,"&lt;"&amp;EDATE(DATE(2026,MATCH(A24,{"JAN","FEB","MAR","APR","MAY","JUN","JUL","AUG","SEP","OCT","NOV","DEC"},0),1),1))</f>
        <v>0</v>
      </c>
      <c r="E24" s="15">
        <f>C24-D24</f>
        <v>0</v>
      </c>
      <c r="F24" s="16">
        <f>IF(D24&lt;=C24,"ON_TRACK","OVER_BUDGET")</f>
        <v>0</v>
      </c>
    </row>
    <row r="25" ht="20" customHeight="1" spans="1:6" x14ac:dyDescent="0.25">
      <c r="A25" s="13"/>
      <c r="B25" s="13"/>
      <c r="C25" s="14"/>
      <c r="D25" s="15">
        <f>SUMIFS('Ausgaben'!$D$5:$D$104,'Ausgaben'!$C$5:$C$104,B25,'Ausgaben'!$A$5:$A$104,"&gt;="&amp;DATE(2026,MATCH(A25,{"JAN","FEB","MAR","APR","MAY","JUN","JUL","AUG","SEP","OCT","NOV","DEC"},0),1),'Ausgaben'!$A$5:$A$104,"&lt;"&amp;EDATE(DATE(2026,MATCH(A25,{"JAN","FEB","MAR","APR","MAY","JUN","JUL","AUG","SEP","OCT","NOV","DEC"},0),1),1))</f>
        <v>0</v>
      </c>
      <c r="E25" s="15">
        <f>C25-D25</f>
        <v>0</v>
      </c>
      <c r="F25" s="16">
        <f>IF(D25&lt;=C25,"ON_TRACK","OVER_BUDGET")</f>
        <v>0</v>
      </c>
    </row>
    <row r="26" ht="20" customHeight="1" spans="1:6" x14ac:dyDescent="0.25">
      <c r="A26" s="13"/>
      <c r="B26" s="13"/>
      <c r="C26" s="14"/>
      <c r="D26" s="15">
        <f>SUMIFS('Ausgaben'!$D$5:$D$104,'Ausgaben'!$C$5:$C$104,B26,'Ausgaben'!$A$5:$A$104,"&gt;="&amp;DATE(2026,MATCH(A26,{"JAN","FEB","MAR","APR","MAY","JUN","JUL","AUG","SEP","OCT","NOV","DEC"},0),1),'Ausgaben'!$A$5:$A$104,"&lt;"&amp;EDATE(DATE(2026,MATCH(A26,{"JAN","FEB","MAR","APR","MAY","JUN","JUL","AUG","SEP","OCT","NOV","DEC"},0),1),1))</f>
        <v>0</v>
      </c>
      <c r="E26" s="15">
        <f>C26-D26</f>
        <v>0</v>
      </c>
      <c r="F26" s="16">
        <f>IF(D26&lt;=C26,"ON_TRACK","OVER_BUDGET")</f>
        <v>0</v>
      </c>
    </row>
    <row r="27" ht="20" customHeight="1" spans="1:6" x14ac:dyDescent="0.25">
      <c r="A27" s="13"/>
      <c r="B27" s="13"/>
      <c r="C27" s="14"/>
      <c r="D27" s="15">
        <f>SUMIFS('Ausgaben'!$D$5:$D$104,'Ausgaben'!$C$5:$C$104,B27,'Ausgaben'!$A$5:$A$104,"&gt;="&amp;DATE(2026,MATCH(A27,{"JAN","FEB","MAR","APR","MAY","JUN","JUL","AUG","SEP","OCT","NOV","DEC"},0),1),'Ausgaben'!$A$5:$A$104,"&lt;"&amp;EDATE(DATE(2026,MATCH(A27,{"JAN","FEB","MAR","APR","MAY","JUN","JUL","AUG","SEP","OCT","NOV","DEC"},0),1),1))</f>
        <v>0</v>
      </c>
      <c r="E27" s="15">
        <f>C27-D27</f>
        <v>0</v>
      </c>
      <c r="F27" s="16">
        <f>IF(D27&lt;=C27,"ON_TRACK","OVER_BUDGET")</f>
        <v>0</v>
      </c>
    </row>
    <row r="28" ht="20" customHeight="1" spans="1:6" x14ac:dyDescent="0.25">
      <c r="A28" s="13"/>
      <c r="B28" s="13"/>
      <c r="C28" s="14"/>
      <c r="D28" s="15">
        <f>SUMIFS('Ausgaben'!$D$5:$D$104,'Ausgaben'!$C$5:$C$104,B28,'Ausgaben'!$A$5:$A$104,"&gt;="&amp;DATE(2026,MATCH(A28,{"JAN","FEB","MAR","APR","MAY","JUN","JUL","AUG","SEP","OCT","NOV","DEC"},0),1),'Ausgaben'!$A$5:$A$104,"&lt;"&amp;EDATE(DATE(2026,MATCH(A28,{"JAN","FEB","MAR","APR","MAY","JUN","JUL","AUG","SEP","OCT","NOV","DEC"},0),1),1))</f>
        <v>0</v>
      </c>
      <c r="E28" s="15">
        <f>C28-D28</f>
        <v>0</v>
      </c>
      <c r="F28" s="16">
        <f>IF(D28&lt;=C28,"ON_TRACK","OVER_BUDGET")</f>
        <v>0</v>
      </c>
    </row>
    <row r="29" ht="20" customHeight="1" spans="1:6" x14ac:dyDescent="0.25">
      <c r="A29" s="13"/>
      <c r="B29" s="13"/>
      <c r="C29" s="14"/>
      <c r="D29" s="15">
        <f>SUMIFS('Ausgaben'!$D$5:$D$104,'Ausgaben'!$C$5:$C$104,B29,'Ausgaben'!$A$5:$A$104,"&gt;="&amp;DATE(2026,MATCH(A29,{"JAN","FEB","MAR","APR","MAY","JUN","JUL","AUG","SEP","OCT","NOV","DEC"},0),1),'Ausgaben'!$A$5:$A$104,"&lt;"&amp;EDATE(DATE(2026,MATCH(A29,{"JAN","FEB","MAR","APR","MAY","JUN","JUL","AUG","SEP","OCT","NOV","DEC"},0),1),1))</f>
        <v>0</v>
      </c>
      <c r="E29" s="15">
        <f>C29-D29</f>
        <v>0</v>
      </c>
      <c r="F29" s="16">
        <f>IF(D29&lt;=C29,"ON_TRACK","OVER_BUDGET")</f>
        <v>0</v>
      </c>
    </row>
    <row r="30" ht="20" customHeight="1" spans="1:6" x14ac:dyDescent="0.25">
      <c r="A30" s="13"/>
      <c r="B30" s="13"/>
      <c r="C30" s="14"/>
      <c r="D30" s="15">
        <f>SUMIFS('Ausgaben'!$D$5:$D$104,'Ausgaben'!$C$5:$C$104,B30,'Ausgaben'!$A$5:$A$104,"&gt;="&amp;DATE(2026,MATCH(A30,{"JAN","FEB","MAR","APR","MAY","JUN","JUL","AUG","SEP","OCT","NOV","DEC"},0),1),'Ausgaben'!$A$5:$A$104,"&lt;"&amp;EDATE(DATE(2026,MATCH(A30,{"JAN","FEB","MAR","APR","MAY","JUN","JUL","AUG","SEP","OCT","NOV","DEC"},0),1),1))</f>
        <v>0</v>
      </c>
      <c r="E30" s="15">
        <f>C30-D30</f>
        <v>0</v>
      </c>
      <c r="F30" s="16">
        <f>IF(D30&lt;=C30,"ON_TRACK","OVER_BUDGET")</f>
        <v>0</v>
      </c>
    </row>
    <row r="31" ht="20" customHeight="1" spans="1:6" x14ac:dyDescent="0.25">
      <c r="A31" s="13"/>
      <c r="B31" s="13"/>
      <c r="C31" s="14"/>
      <c r="D31" s="15">
        <f>SUMIFS('Ausgaben'!$D$5:$D$104,'Ausgaben'!$C$5:$C$104,B31,'Ausgaben'!$A$5:$A$104,"&gt;="&amp;DATE(2026,MATCH(A31,{"JAN","FEB","MAR","APR","MAY","JUN","JUL","AUG","SEP","OCT","NOV","DEC"},0),1),'Ausgaben'!$A$5:$A$104,"&lt;"&amp;EDATE(DATE(2026,MATCH(A31,{"JAN","FEB","MAR","APR","MAY","JUN","JUL","AUG","SEP","OCT","NOV","DEC"},0),1),1))</f>
        <v>0</v>
      </c>
      <c r="E31" s="15">
        <f>C31-D31</f>
        <v>0</v>
      </c>
      <c r="F31" s="16">
        <f>IF(D31&lt;=C31,"ON_TRACK","OVER_BUDGET")</f>
        <v>0</v>
      </c>
    </row>
    <row r="32" ht="20" customHeight="1" spans="1:6" x14ac:dyDescent="0.25">
      <c r="A32" s="13"/>
      <c r="B32" s="13"/>
      <c r="C32" s="14"/>
      <c r="D32" s="15">
        <f>SUMIFS('Ausgaben'!$D$5:$D$104,'Ausgaben'!$C$5:$C$104,B32,'Ausgaben'!$A$5:$A$104,"&gt;="&amp;DATE(2026,MATCH(A32,{"JAN","FEB","MAR","APR","MAY","JUN","JUL","AUG","SEP","OCT","NOV","DEC"},0),1),'Ausgaben'!$A$5:$A$104,"&lt;"&amp;EDATE(DATE(2026,MATCH(A32,{"JAN","FEB","MAR","APR","MAY","JUN","JUL","AUG","SEP","OCT","NOV","DEC"},0),1),1))</f>
        <v>0</v>
      </c>
      <c r="E32" s="15">
        <f>C32-D32</f>
        <v>0</v>
      </c>
      <c r="F32" s="16">
        <f>IF(D32&lt;=C32,"ON_TRACK","OVER_BUDGET")</f>
        <v>0</v>
      </c>
    </row>
    <row r="33" ht="20" customHeight="1" spans="1:6" x14ac:dyDescent="0.25">
      <c r="A33" s="13"/>
      <c r="B33" s="13"/>
      <c r="C33" s="14"/>
      <c r="D33" s="15">
        <f>SUMIFS('Ausgaben'!$D$5:$D$104,'Ausgaben'!$C$5:$C$104,B33,'Ausgaben'!$A$5:$A$104,"&gt;="&amp;DATE(2026,MATCH(A33,{"JAN","FEB","MAR","APR","MAY","JUN","JUL","AUG","SEP","OCT","NOV","DEC"},0),1),'Ausgaben'!$A$5:$A$104,"&lt;"&amp;EDATE(DATE(2026,MATCH(A33,{"JAN","FEB","MAR","APR","MAY","JUN","JUL","AUG","SEP","OCT","NOV","DEC"},0),1),1))</f>
        <v>0</v>
      </c>
      <c r="E33" s="15">
        <f>C33-D33</f>
        <v>0</v>
      </c>
      <c r="F33" s="16">
        <f>IF(D33&lt;=C33,"ON_TRACK","OVER_BUDGET")</f>
        <v>0</v>
      </c>
    </row>
    <row r="34" ht="20" customHeight="1" spans="1:6" x14ac:dyDescent="0.25">
      <c r="A34" s="13"/>
      <c r="B34" s="13"/>
      <c r="C34" s="14"/>
      <c r="D34" s="15">
        <f>SUMIFS('Ausgaben'!$D$5:$D$104,'Ausgaben'!$C$5:$C$104,B34,'Ausgaben'!$A$5:$A$104,"&gt;="&amp;DATE(2026,MATCH(A34,{"JAN","FEB","MAR","APR","MAY","JUN","JUL","AUG","SEP","OCT","NOV","DEC"},0),1),'Ausgaben'!$A$5:$A$104,"&lt;"&amp;EDATE(DATE(2026,MATCH(A34,{"JAN","FEB","MAR","APR","MAY","JUN","JUL","AUG","SEP","OCT","NOV","DEC"},0),1),1))</f>
        <v>0</v>
      </c>
      <c r="E34" s="15">
        <f>C34-D34</f>
        <v>0</v>
      </c>
      <c r="F34" s="16">
        <f>IF(D34&lt;=C34,"ON_TRACK","OVER_BUDGET")</f>
        <v>0</v>
      </c>
    </row>
    <row r="35" ht="20" customHeight="1" spans="1:6" x14ac:dyDescent="0.25">
      <c r="A35" s="13"/>
      <c r="B35" s="13"/>
      <c r="C35" s="14"/>
      <c r="D35" s="15">
        <f>SUMIFS('Ausgaben'!$D$5:$D$104,'Ausgaben'!$C$5:$C$104,B35,'Ausgaben'!$A$5:$A$104,"&gt;="&amp;DATE(2026,MATCH(A35,{"JAN","FEB","MAR","APR","MAY","JUN","JUL","AUG","SEP","OCT","NOV","DEC"},0),1),'Ausgaben'!$A$5:$A$104,"&lt;"&amp;EDATE(DATE(2026,MATCH(A35,{"JAN","FEB","MAR","APR","MAY","JUN","JUL","AUG","SEP","OCT","NOV","DEC"},0),1),1))</f>
        <v>0</v>
      </c>
      <c r="E35" s="15">
        <f>C35-D35</f>
        <v>0</v>
      </c>
      <c r="F35" s="16">
        <f>IF(D35&lt;=C35,"ON_TRACK","OVER_BUDGET")</f>
        <v>0</v>
      </c>
    </row>
    <row r="36" ht="20" customHeight="1" spans="1:6" x14ac:dyDescent="0.25">
      <c r="A36" s="13"/>
      <c r="B36" s="13"/>
      <c r="C36" s="14"/>
      <c r="D36" s="15">
        <f>SUMIFS('Ausgaben'!$D$5:$D$104,'Ausgaben'!$C$5:$C$104,B36,'Ausgaben'!$A$5:$A$104,"&gt;="&amp;DATE(2026,MATCH(A36,{"JAN","FEB","MAR","APR","MAY","JUN","JUL","AUG","SEP","OCT","NOV","DEC"},0),1),'Ausgaben'!$A$5:$A$104,"&lt;"&amp;EDATE(DATE(2026,MATCH(A36,{"JAN","FEB","MAR","APR","MAY","JUN","JUL","AUG","SEP","OCT","NOV","DEC"},0),1),1))</f>
        <v>0</v>
      </c>
      <c r="E36" s="15">
        <f>C36-D36</f>
        <v>0</v>
      </c>
      <c r="F36" s="16">
        <f>IF(D36&lt;=C36,"ON_TRACK","OVER_BUDGET")</f>
        <v>0</v>
      </c>
    </row>
    <row r="37" ht="20" customHeight="1" spans="1:6" x14ac:dyDescent="0.25">
      <c r="A37" s="13"/>
      <c r="B37" s="13"/>
      <c r="C37" s="14"/>
      <c r="D37" s="15">
        <f>SUMIFS('Ausgaben'!$D$5:$D$104,'Ausgaben'!$C$5:$C$104,B37,'Ausgaben'!$A$5:$A$104,"&gt;="&amp;DATE(2026,MATCH(A37,{"JAN","FEB","MAR","APR","MAY","JUN","JUL","AUG","SEP","OCT","NOV","DEC"},0),1),'Ausgaben'!$A$5:$A$104,"&lt;"&amp;EDATE(DATE(2026,MATCH(A37,{"JAN","FEB","MAR","APR","MAY","JUN","JUL","AUG","SEP","OCT","NOV","DEC"},0),1),1))</f>
        <v>0</v>
      </c>
      <c r="E37" s="15">
        <f>C37-D37</f>
        <v>0</v>
      </c>
      <c r="F37" s="16">
        <f>IF(D37&lt;=C37,"ON_TRACK","OVER_BUDGET")</f>
        <v>0</v>
      </c>
    </row>
    <row r="38" ht="20" customHeight="1" spans="1:6" x14ac:dyDescent="0.25">
      <c r="A38" s="13"/>
      <c r="B38" s="13"/>
      <c r="C38" s="14"/>
      <c r="D38" s="15">
        <f>SUMIFS('Ausgaben'!$D$5:$D$104,'Ausgaben'!$C$5:$C$104,B38,'Ausgaben'!$A$5:$A$104,"&gt;="&amp;DATE(2026,MATCH(A38,{"JAN","FEB","MAR","APR","MAY","JUN","JUL","AUG","SEP","OCT","NOV","DEC"},0),1),'Ausgaben'!$A$5:$A$104,"&lt;"&amp;EDATE(DATE(2026,MATCH(A38,{"JAN","FEB","MAR","APR","MAY","JUN","JUL","AUG","SEP","OCT","NOV","DEC"},0),1),1))</f>
        <v>0</v>
      </c>
      <c r="E38" s="15">
        <f>C38-D38</f>
        <v>0</v>
      </c>
      <c r="F38" s="16">
        <f>IF(D38&lt;=C38,"ON_TRACK","OVER_BUDGET")</f>
        <v>0</v>
      </c>
    </row>
    <row r="39" ht="20" customHeight="1" spans="1:6" x14ac:dyDescent="0.25">
      <c r="A39" s="13"/>
      <c r="B39" s="13"/>
      <c r="C39" s="14"/>
      <c r="D39" s="15">
        <f>SUMIFS('Ausgaben'!$D$5:$D$104,'Ausgaben'!$C$5:$C$104,B39,'Ausgaben'!$A$5:$A$104,"&gt;="&amp;DATE(2026,MATCH(A39,{"JAN","FEB","MAR","APR","MAY","JUN","JUL","AUG","SEP","OCT","NOV","DEC"},0),1),'Ausgaben'!$A$5:$A$104,"&lt;"&amp;EDATE(DATE(2026,MATCH(A39,{"JAN","FEB","MAR","APR","MAY","JUN","JUL","AUG","SEP","OCT","NOV","DEC"},0),1),1))</f>
        <v>0</v>
      </c>
      <c r="E39" s="15">
        <f>C39-D39</f>
        <v>0</v>
      </c>
      <c r="F39" s="16">
        <f>IF(D39&lt;=C39,"ON_TRACK","OVER_BUDGET")</f>
        <v>0</v>
      </c>
    </row>
    <row r="40" ht="20" customHeight="1" spans="1:6" x14ac:dyDescent="0.25">
      <c r="A40" s="13"/>
      <c r="B40" s="13"/>
      <c r="C40" s="14"/>
      <c r="D40" s="15">
        <f>SUMIFS('Ausgaben'!$D$5:$D$104,'Ausgaben'!$C$5:$C$104,B40,'Ausgaben'!$A$5:$A$104,"&gt;="&amp;DATE(2026,MATCH(A40,{"JAN","FEB","MAR","APR","MAY","JUN","JUL","AUG","SEP","OCT","NOV","DEC"},0),1),'Ausgaben'!$A$5:$A$104,"&lt;"&amp;EDATE(DATE(2026,MATCH(A40,{"JAN","FEB","MAR","APR","MAY","JUN","JUL","AUG","SEP","OCT","NOV","DEC"},0),1),1))</f>
        <v>0</v>
      </c>
      <c r="E40" s="15">
        <f>C40-D40</f>
        <v>0</v>
      </c>
      <c r="F40" s="16">
        <f>IF(D40&lt;=C40,"ON_TRACK","OVER_BUDGET")</f>
        <v>0</v>
      </c>
    </row>
    <row r="41" ht="20" customHeight="1" spans="1:6" x14ac:dyDescent="0.25">
      <c r="A41" s="13"/>
      <c r="B41" s="13"/>
      <c r="C41" s="14"/>
      <c r="D41" s="15">
        <f>SUMIFS('Ausgaben'!$D$5:$D$104,'Ausgaben'!$C$5:$C$104,B41,'Ausgaben'!$A$5:$A$104,"&gt;="&amp;DATE(2026,MATCH(A41,{"JAN","FEB","MAR","APR","MAY","JUN","JUL","AUG","SEP","OCT","NOV","DEC"},0),1),'Ausgaben'!$A$5:$A$104,"&lt;"&amp;EDATE(DATE(2026,MATCH(A41,{"JAN","FEB","MAR","APR","MAY","JUN","JUL","AUG","SEP","OCT","NOV","DEC"},0),1),1))</f>
        <v>0</v>
      </c>
      <c r="E41" s="15">
        <f>C41-D41</f>
        <v>0</v>
      </c>
      <c r="F41" s="16">
        <f>IF(D41&lt;=C41,"ON_TRACK","OVER_BUDGET")</f>
        <v>0</v>
      </c>
    </row>
    <row r="42" ht="20" customHeight="1" spans="1:6" x14ac:dyDescent="0.25">
      <c r="A42" s="13"/>
      <c r="B42" s="13"/>
      <c r="C42" s="14"/>
      <c r="D42" s="15">
        <f>SUMIFS('Ausgaben'!$D$5:$D$104,'Ausgaben'!$C$5:$C$104,B42,'Ausgaben'!$A$5:$A$104,"&gt;="&amp;DATE(2026,MATCH(A42,{"JAN","FEB","MAR","APR","MAY","JUN","JUL","AUG","SEP","OCT","NOV","DEC"},0),1),'Ausgaben'!$A$5:$A$104,"&lt;"&amp;EDATE(DATE(2026,MATCH(A42,{"JAN","FEB","MAR","APR","MAY","JUN","JUL","AUG","SEP","OCT","NOV","DEC"},0),1),1))</f>
        <v>0</v>
      </c>
      <c r="E42" s="15">
        <f>C42-D42</f>
        <v>0</v>
      </c>
      <c r="F42" s="16">
        <f>IF(D42&lt;=C42,"ON_TRACK","OVER_BUDGET")</f>
        <v>0</v>
      </c>
    </row>
    <row r="43" ht="20" customHeight="1" spans="1:6" x14ac:dyDescent="0.25">
      <c r="A43" s="13"/>
      <c r="B43" s="13"/>
      <c r="C43" s="14"/>
      <c r="D43" s="15">
        <f>SUMIFS('Ausgaben'!$D$5:$D$104,'Ausgaben'!$C$5:$C$104,B43,'Ausgaben'!$A$5:$A$104,"&gt;="&amp;DATE(2026,MATCH(A43,{"JAN","FEB","MAR","APR","MAY","JUN","JUL","AUG","SEP","OCT","NOV","DEC"},0),1),'Ausgaben'!$A$5:$A$104,"&lt;"&amp;EDATE(DATE(2026,MATCH(A43,{"JAN","FEB","MAR","APR","MAY","JUN","JUL","AUG","SEP","OCT","NOV","DEC"},0),1),1))</f>
        <v>0</v>
      </c>
      <c r="E43" s="15">
        <f>C43-D43</f>
        <v>0</v>
      </c>
      <c r="F43" s="16">
        <f>IF(D43&lt;=C43,"ON_TRACK","OVER_BUDGET")</f>
        <v>0</v>
      </c>
    </row>
    <row r="44" ht="20" customHeight="1" spans="1:6" x14ac:dyDescent="0.25">
      <c r="A44" s="13"/>
      <c r="B44" s="13"/>
      <c r="C44" s="14"/>
      <c r="D44" s="15">
        <f>SUMIFS('Ausgaben'!$D$5:$D$104,'Ausgaben'!$C$5:$C$104,B44,'Ausgaben'!$A$5:$A$104,"&gt;="&amp;DATE(2026,MATCH(A44,{"JAN","FEB","MAR","APR","MAY","JUN","JUL","AUG","SEP","OCT","NOV","DEC"},0),1),'Ausgaben'!$A$5:$A$104,"&lt;"&amp;EDATE(DATE(2026,MATCH(A44,{"JAN","FEB","MAR","APR","MAY","JUN","JUL","AUG","SEP","OCT","NOV","DEC"},0),1),1))</f>
        <v>0</v>
      </c>
      <c r="E44" s="15">
        <f>C44-D44</f>
        <v>0</v>
      </c>
      <c r="F44" s="16">
        <f>IF(D44&lt;=C44,"ON_TRACK","OVER_BUDGET")</f>
        <v>0</v>
      </c>
    </row>
    <row r="45" ht="20" customHeight="1" spans="1:6" x14ac:dyDescent="0.25">
      <c r="A45" s="13"/>
      <c r="B45" s="13"/>
      <c r="C45" s="14"/>
      <c r="D45" s="15">
        <f>SUMIFS('Ausgaben'!$D$5:$D$104,'Ausgaben'!$C$5:$C$104,B45,'Ausgaben'!$A$5:$A$104,"&gt;="&amp;DATE(2026,MATCH(A45,{"JAN","FEB","MAR","APR","MAY","JUN","JUL","AUG","SEP","OCT","NOV","DEC"},0),1),'Ausgaben'!$A$5:$A$104,"&lt;"&amp;EDATE(DATE(2026,MATCH(A45,{"JAN","FEB","MAR","APR","MAY","JUN","JUL","AUG","SEP","OCT","NOV","DEC"},0),1),1))</f>
        <v>0</v>
      </c>
      <c r="E45" s="15">
        <f>C45-D45</f>
        <v>0</v>
      </c>
      <c r="F45" s="16">
        <f>IF(D45&lt;=C45,"ON_TRACK","OVER_BUDGET")</f>
        <v>0</v>
      </c>
    </row>
    <row r="46" ht="20" customHeight="1" spans="1:6" x14ac:dyDescent="0.25">
      <c r="A46" s="13"/>
      <c r="B46" s="13"/>
      <c r="C46" s="14"/>
      <c r="D46" s="15">
        <f>SUMIFS('Ausgaben'!$D$5:$D$104,'Ausgaben'!$C$5:$C$104,B46,'Ausgaben'!$A$5:$A$104,"&gt;="&amp;DATE(2026,MATCH(A46,{"JAN","FEB","MAR","APR","MAY","JUN","JUL","AUG","SEP","OCT","NOV","DEC"},0),1),'Ausgaben'!$A$5:$A$104,"&lt;"&amp;EDATE(DATE(2026,MATCH(A46,{"JAN","FEB","MAR","APR","MAY","JUN","JUL","AUG","SEP","OCT","NOV","DEC"},0),1),1))</f>
        <v>0</v>
      </c>
      <c r="E46" s="15">
        <f>C46-D46</f>
        <v>0</v>
      </c>
      <c r="F46" s="16">
        <f>IF(D46&lt;=C46,"ON_TRACK","OVER_BUDGET")</f>
        <v>0</v>
      </c>
    </row>
    <row r="47" ht="20" customHeight="1" spans="1:6" x14ac:dyDescent="0.25">
      <c r="A47" s="13"/>
      <c r="B47" s="13"/>
      <c r="C47" s="14"/>
      <c r="D47" s="15">
        <f>SUMIFS('Ausgaben'!$D$5:$D$104,'Ausgaben'!$C$5:$C$104,B47,'Ausgaben'!$A$5:$A$104,"&gt;="&amp;DATE(2026,MATCH(A47,{"JAN","FEB","MAR","APR","MAY","JUN","JUL","AUG","SEP","OCT","NOV","DEC"},0),1),'Ausgaben'!$A$5:$A$104,"&lt;"&amp;EDATE(DATE(2026,MATCH(A47,{"JAN","FEB","MAR","APR","MAY","JUN","JUL","AUG","SEP","OCT","NOV","DEC"},0),1),1))</f>
        <v>0</v>
      </c>
      <c r="E47" s="15">
        <f>C47-D47</f>
        <v>0</v>
      </c>
      <c r="F47" s="16">
        <f>IF(D47&lt;=C47,"ON_TRACK","OVER_BUDGET")</f>
        <v>0</v>
      </c>
    </row>
    <row r="48" ht="20" customHeight="1" spans="1:6" x14ac:dyDescent="0.25">
      <c r="A48" s="13"/>
      <c r="B48" s="13"/>
      <c r="C48" s="14"/>
      <c r="D48" s="15">
        <f>SUMIFS('Ausgaben'!$D$5:$D$104,'Ausgaben'!$C$5:$C$104,B48,'Ausgaben'!$A$5:$A$104,"&gt;="&amp;DATE(2026,MATCH(A48,{"JAN","FEB","MAR","APR","MAY","JUN","JUL","AUG","SEP","OCT","NOV","DEC"},0),1),'Ausgaben'!$A$5:$A$104,"&lt;"&amp;EDATE(DATE(2026,MATCH(A48,{"JAN","FEB","MAR","APR","MAY","JUN","JUL","AUG","SEP","OCT","NOV","DEC"},0),1),1))</f>
        <v>0</v>
      </c>
      <c r="E48" s="15">
        <f>C48-D48</f>
        <v>0</v>
      </c>
      <c r="F48" s="16">
        <f>IF(D48&lt;=C48,"ON_TRACK","OVER_BUDGET")</f>
        <v>0</v>
      </c>
    </row>
    <row r="49" ht="20" customHeight="1" spans="1:6" x14ac:dyDescent="0.25">
      <c r="A49" s="13"/>
      <c r="B49" s="13"/>
      <c r="C49" s="14"/>
      <c r="D49" s="15">
        <f>SUMIFS('Ausgaben'!$D$5:$D$104,'Ausgaben'!$C$5:$C$104,B49,'Ausgaben'!$A$5:$A$104,"&gt;="&amp;DATE(2026,MATCH(A49,{"JAN","FEB","MAR","APR","MAY","JUN","JUL","AUG","SEP","OCT","NOV","DEC"},0),1),'Ausgaben'!$A$5:$A$104,"&lt;"&amp;EDATE(DATE(2026,MATCH(A49,{"JAN","FEB","MAR","APR","MAY","JUN","JUL","AUG","SEP","OCT","NOV","DEC"},0),1),1))</f>
        <v>0</v>
      </c>
      <c r="E49" s="15">
        <f>C49-D49</f>
        <v>0</v>
      </c>
      <c r="F49" s="16">
        <f>IF(D49&lt;=C49,"ON_TRACK","OVER_BUDGET")</f>
        <v>0</v>
      </c>
    </row>
    <row r="50" ht="20" customHeight="1" spans="1:6" x14ac:dyDescent="0.25">
      <c r="A50" s="13"/>
      <c r="B50" s="13"/>
      <c r="C50" s="14"/>
      <c r="D50" s="15">
        <f>SUMIFS('Ausgaben'!$D$5:$D$104,'Ausgaben'!$C$5:$C$104,B50,'Ausgaben'!$A$5:$A$104,"&gt;="&amp;DATE(2026,MATCH(A50,{"JAN","FEB","MAR","APR","MAY","JUN","JUL","AUG","SEP","OCT","NOV","DEC"},0),1),'Ausgaben'!$A$5:$A$104,"&lt;"&amp;EDATE(DATE(2026,MATCH(A50,{"JAN","FEB","MAR","APR","MAY","JUN","JUL","AUG","SEP","OCT","NOV","DEC"},0),1),1))</f>
        <v>0</v>
      </c>
      <c r="E50" s="15">
        <f>C50-D50</f>
        <v>0</v>
      </c>
      <c r="F50" s="16">
        <f>IF(D50&lt;=C50,"ON_TRACK","OVER_BUDGET")</f>
        <v>0</v>
      </c>
    </row>
    <row r="51" ht="20" customHeight="1" spans="1:6" x14ac:dyDescent="0.25">
      <c r="A51" s="13"/>
      <c r="B51" s="13"/>
      <c r="C51" s="14"/>
      <c r="D51" s="15">
        <f>SUMIFS('Ausgaben'!$D$5:$D$104,'Ausgaben'!$C$5:$C$104,B51,'Ausgaben'!$A$5:$A$104,"&gt;="&amp;DATE(2026,MATCH(A51,{"JAN","FEB","MAR","APR","MAY","JUN","JUL","AUG","SEP","OCT","NOV","DEC"},0),1),'Ausgaben'!$A$5:$A$104,"&lt;"&amp;EDATE(DATE(2026,MATCH(A51,{"JAN","FEB","MAR","APR","MAY","JUN","JUL","AUG","SEP","OCT","NOV","DEC"},0),1),1))</f>
        <v>0</v>
      </c>
      <c r="E51" s="15">
        <f>C51-D51</f>
        <v>0</v>
      </c>
      <c r="F51" s="16">
        <f>IF(D51&lt;=C51,"ON_TRACK","OVER_BUDGET")</f>
        <v>0</v>
      </c>
    </row>
    <row r="52" ht="20" customHeight="1" spans="1:6" x14ac:dyDescent="0.25">
      <c r="A52" s="13"/>
      <c r="B52" s="13"/>
      <c r="C52" s="14"/>
      <c r="D52" s="15">
        <f>SUMIFS('Ausgaben'!$D$5:$D$104,'Ausgaben'!$C$5:$C$104,B52,'Ausgaben'!$A$5:$A$104,"&gt;="&amp;DATE(2026,MATCH(A52,{"JAN","FEB","MAR","APR","MAY","JUN","JUL","AUG","SEP","OCT","NOV","DEC"},0),1),'Ausgaben'!$A$5:$A$104,"&lt;"&amp;EDATE(DATE(2026,MATCH(A52,{"JAN","FEB","MAR","APR","MAY","JUN","JUL","AUG","SEP","OCT","NOV","DEC"},0),1),1))</f>
        <v>0</v>
      </c>
      <c r="E52" s="15">
        <f>C52-D52</f>
        <v>0</v>
      </c>
      <c r="F52" s="16">
        <f>IF(D52&lt;=C52,"ON_TRACK","OVER_BUDGET")</f>
        <v>0</v>
      </c>
    </row>
    <row r="53" ht="20" customHeight="1" spans="1:6" x14ac:dyDescent="0.25">
      <c r="A53" s="13"/>
      <c r="B53" s="13"/>
      <c r="C53" s="14"/>
      <c r="D53" s="15">
        <f>SUMIFS('Ausgaben'!$D$5:$D$104,'Ausgaben'!$C$5:$C$104,B53,'Ausgaben'!$A$5:$A$104,"&gt;="&amp;DATE(2026,MATCH(A53,{"JAN","FEB","MAR","APR","MAY","JUN","JUL","AUG","SEP","OCT","NOV","DEC"},0),1),'Ausgaben'!$A$5:$A$104,"&lt;"&amp;EDATE(DATE(2026,MATCH(A53,{"JAN","FEB","MAR","APR","MAY","JUN","JUL","AUG","SEP","OCT","NOV","DEC"},0),1),1))</f>
        <v>0</v>
      </c>
      <c r="E53" s="15">
        <f>C53-D53</f>
        <v>0</v>
      </c>
      <c r="F53" s="16">
        <f>IF(D53&lt;=C53,"ON_TRACK","OVER_BUDGET")</f>
        <v>0</v>
      </c>
    </row>
    <row r="54" ht="20" customHeight="1" spans="1:6" x14ac:dyDescent="0.25">
      <c r="A54" s="13"/>
      <c r="B54" s="13"/>
      <c r="C54" s="14"/>
      <c r="D54" s="15">
        <f>SUMIFS('Ausgaben'!$D$5:$D$104,'Ausgaben'!$C$5:$C$104,B54,'Ausgaben'!$A$5:$A$104,"&gt;="&amp;DATE(2026,MATCH(A54,{"JAN","FEB","MAR","APR","MAY","JUN","JUL","AUG","SEP","OCT","NOV","DEC"},0),1),'Ausgaben'!$A$5:$A$104,"&lt;"&amp;EDATE(DATE(2026,MATCH(A54,{"JAN","FEB","MAR","APR","MAY","JUN","JUL","AUG","SEP","OCT","NOV","DEC"},0),1),1))</f>
        <v>0</v>
      </c>
      <c r="E54" s="15">
        <f>C54-D54</f>
        <v>0</v>
      </c>
      <c r="F54" s="16">
        <f>IF(D54&lt;=C54,"ON_TRACK","OVER_BUDGET")</f>
        <v>0</v>
      </c>
    </row>
    <row r="55" ht="20" customHeight="1" spans="1:6" x14ac:dyDescent="0.25">
      <c r="A55" s="13"/>
      <c r="B55" s="13"/>
      <c r="C55" s="14"/>
      <c r="D55" s="15">
        <f>SUMIFS('Ausgaben'!$D$5:$D$104,'Ausgaben'!$C$5:$C$104,B55,'Ausgaben'!$A$5:$A$104,"&gt;="&amp;DATE(2026,MATCH(A55,{"JAN","FEB","MAR","APR","MAY","JUN","JUL","AUG","SEP","OCT","NOV","DEC"},0),1),'Ausgaben'!$A$5:$A$104,"&lt;"&amp;EDATE(DATE(2026,MATCH(A55,{"JAN","FEB","MAR","APR","MAY","JUN","JUL","AUG","SEP","OCT","NOV","DEC"},0),1),1))</f>
        <v>0</v>
      </c>
      <c r="E55" s="15">
        <f>C55-D55</f>
        <v>0</v>
      </c>
      <c r="F55" s="16">
        <f>IF(D55&lt;=C55,"ON_TRACK","OVER_BUDGET")</f>
        <v>0</v>
      </c>
    </row>
    <row r="56" ht="20" customHeight="1" spans="1:6" x14ac:dyDescent="0.25">
      <c r="A56" s="13"/>
      <c r="B56" s="13"/>
      <c r="C56" s="14"/>
      <c r="D56" s="15">
        <f>SUMIFS('Ausgaben'!$D$5:$D$104,'Ausgaben'!$C$5:$C$104,B56,'Ausgaben'!$A$5:$A$104,"&gt;="&amp;DATE(2026,MATCH(A56,{"JAN","FEB","MAR","APR","MAY","JUN","JUL","AUG","SEP","OCT","NOV","DEC"},0),1),'Ausgaben'!$A$5:$A$104,"&lt;"&amp;EDATE(DATE(2026,MATCH(A56,{"JAN","FEB","MAR","APR","MAY","JUN","JUL","AUG","SEP","OCT","NOV","DEC"},0),1),1))</f>
        <v>0</v>
      </c>
      <c r="E56" s="15">
        <f>C56-D56</f>
        <v>0</v>
      </c>
      <c r="F56" s="16">
        <f>IF(D56&lt;=C56,"ON_TRACK","OVER_BUDGET")</f>
        <v>0</v>
      </c>
    </row>
    <row r="57" ht="20" customHeight="1" spans="1:6" x14ac:dyDescent="0.25">
      <c r="A57" s="13"/>
      <c r="B57" s="13"/>
      <c r="C57" s="14"/>
      <c r="D57" s="15">
        <f>SUMIFS('Ausgaben'!$D$5:$D$104,'Ausgaben'!$C$5:$C$104,B57,'Ausgaben'!$A$5:$A$104,"&gt;="&amp;DATE(2026,MATCH(A57,{"JAN","FEB","MAR","APR","MAY","JUN","JUL","AUG","SEP","OCT","NOV","DEC"},0),1),'Ausgaben'!$A$5:$A$104,"&lt;"&amp;EDATE(DATE(2026,MATCH(A57,{"JAN","FEB","MAR","APR","MAY","JUN","JUL","AUG","SEP","OCT","NOV","DEC"},0),1),1))</f>
        <v>0</v>
      </c>
      <c r="E57" s="15">
        <f>C57-D57</f>
        <v>0</v>
      </c>
      <c r="F57" s="16">
        <f>IF(D57&lt;=C57,"ON_TRACK","OVER_BUDGET")</f>
        <v>0</v>
      </c>
    </row>
    <row r="58" ht="20" customHeight="1" spans="1:6" x14ac:dyDescent="0.25">
      <c r="A58" s="13"/>
      <c r="B58" s="13"/>
      <c r="C58" s="14"/>
      <c r="D58" s="15">
        <f>SUMIFS('Ausgaben'!$D$5:$D$104,'Ausgaben'!$C$5:$C$104,B58,'Ausgaben'!$A$5:$A$104,"&gt;="&amp;DATE(2026,MATCH(A58,{"JAN","FEB","MAR","APR","MAY","JUN","JUL","AUG","SEP","OCT","NOV","DEC"},0),1),'Ausgaben'!$A$5:$A$104,"&lt;"&amp;EDATE(DATE(2026,MATCH(A58,{"JAN","FEB","MAR","APR","MAY","JUN","JUL","AUG","SEP","OCT","NOV","DEC"},0),1),1))</f>
        <v>0</v>
      </c>
      <c r="E58" s="15">
        <f>C58-D58</f>
        <v>0</v>
      </c>
      <c r="F58" s="16">
        <f>IF(D58&lt;=C58,"ON_TRACK","OVER_BUDGET")</f>
        <v>0</v>
      </c>
    </row>
    <row r="59" ht="20" customHeight="1" spans="1:6" x14ac:dyDescent="0.25">
      <c r="A59" s="13"/>
      <c r="B59" s="13"/>
      <c r="C59" s="14"/>
      <c r="D59" s="15">
        <f>SUMIFS('Ausgaben'!$D$5:$D$104,'Ausgaben'!$C$5:$C$104,B59,'Ausgaben'!$A$5:$A$104,"&gt;="&amp;DATE(2026,MATCH(A59,{"JAN","FEB","MAR","APR","MAY","JUN","JUL","AUG","SEP","OCT","NOV","DEC"},0),1),'Ausgaben'!$A$5:$A$104,"&lt;"&amp;EDATE(DATE(2026,MATCH(A59,{"JAN","FEB","MAR","APR","MAY","JUN","JUL","AUG","SEP","OCT","NOV","DEC"},0),1),1))</f>
        <v>0</v>
      </c>
      <c r="E59" s="15">
        <f>C59-D59</f>
        <v>0</v>
      </c>
      <c r="F59" s="16">
        <f>IF(D59&lt;=C59,"ON_TRACK","OVER_BUDGET")</f>
        <v>0</v>
      </c>
    </row>
    <row r="60" ht="20" customHeight="1" spans="1:6" x14ac:dyDescent="0.25">
      <c r="A60" s="13"/>
      <c r="B60" s="13"/>
      <c r="C60" s="14"/>
      <c r="D60" s="15">
        <f>SUMIFS('Ausgaben'!$D$5:$D$104,'Ausgaben'!$C$5:$C$104,B60,'Ausgaben'!$A$5:$A$104,"&gt;="&amp;DATE(2026,MATCH(A60,{"JAN","FEB","MAR","APR","MAY","JUN","JUL","AUG","SEP","OCT","NOV","DEC"},0),1),'Ausgaben'!$A$5:$A$104,"&lt;"&amp;EDATE(DATE(2026,MATCH(A60,{"JAN","FEB","MAR","APR","MAY","JUN","JUL","AUG","SEP","OCT","NOV","DEC"},0),1),1))</f>
        <v>0</v>
      </c>
      <c r="E60" s="15">
        <f>C60-D60</f>
        <v>0</v>
      </c>
      <c r="F60" s="16">
        <f>IF(D60&lt;=C60,"ON_TRACK","OVER_BUDGET")</f>
        <v>0</v>
      </c>
    </row>
    <row r="61" ht="20" customHeight="1" spans="1:6" x14ac:dyDescent="0.25">
      <c r="A61" s="13"/>
      <c r="B61" s="13"/>
      <c r="C61" s="14"/>
      <c r="D61" s="15">
        <f>SUMIFS('Ausgaben'!$D$5:$D$104,'Ausgaben'!$C$5:$C$104,B61,'Ausgaben'!$A$5:$A$104,"&gt;="&amp;DATE(2026,MATCH(A61,{"JAN","FEB","MAR","APR","MAY","JUN","JUL","AUG","SEP","OCT","NOV","DEC"},0),1),'Ausgaben'!$A$5:$A$104,"&lt;"&amp;EDATE(DATE(2026,MATCH(A61,{"JAN","FEB","MAR","APR","MAY","JUN","JUL","AUG","SEP","OCT","NOV","DEC"},0),1),1))</f>
        <v>0</v>
      </c>
      <c r="E61" s="15">
        <f>C61-D61</f>
        <v>0</v>
      </c>
      <c r="F61" s="16">
        <f>IF(D61&lt;=C61,"ON_TRACK","OVER_BUDGET")</f>
        <v>0</v>
      </c>
    </row>
    <row r="62" ht="20" customHeight="1" spans="1:6" x14ac:dyDescent="0.25">
      <c r="A62" s="13"/>
      <c r="B62" s="13"/>
      <c r="C62" s="14"/>
      <c r="D62" s="15">
        <f>SUMIFS('Ausgaben'!$D$5:$D$104,'Ausgaben'!$C$5:$C$104,B62,'Ausgaben'!$A$5:$A$104,"&gt;="&amp;DATE(2026,MATCH(A62,{"JAN","FEB","MAR","APR","MAY","JUN","JUL","AUG","SEP","OCT","NOV","DEC"},0),1),'Ausgaben'!$A$5:$A$104,"&lt;"&amp;EDATE(DATE(2026,MATCH(A62,{"JAN","FEB","MAR","APR","MAY","JUN","JUL","AUG","SEP","OCT","NOV","DEC"},0),1),1))</f>
        <v>0</v>
      </c>
      <c r="E62" s="15">
        <f>C62-D62</f>
        <v>0</v>
      </c>
      <c r="F62" s="16">
        <f>IF(D62&lt;=C62,"ON_TRACK","OVER_BUDGET")</f>
        <v>0</v>
      </c>
    </row>
    <row r="63" ht="20" customHeight="1" spans="1:6" x14ac:dyDescent="0.25">
      <c r="A63" s="13"/>
      <c r="B63" s="13"/>
      <c r="C63" s="14"/>
      <c r="D63" s="15">
        <f>SUMIFS('Ausgaben'!$D$5:$D$104,'Ausgaben'!$C$5:$C$104,B63,'Ausgaben'!$A$5:$A$104,"&gt;="&amp;DATE(2026,MATCH(A63,{"JAN","FEB","MAR","APR","MAY","JUN","JUL","AUG","SEP","OCT","NOV","DEC"},0),1),'Ausgaben'!$A$5:$A$104,"&lt;"&amp;EDATE(DATE(2026,MATCH(A63,{"JAN","FEB","MAR","APR","MAY","JUN","JUL","AUG","SEP","OCT","NOV","DEC"},0),1),1))</f>
        <v>0</v>
      </c>
      <c r="E63" s="15">
        <f>C63-D63</f>
        <v>0</v>
      </c>
      <c r="F63" s="16">
        <f>IF(D63&lt;=C63,"ON_TRACK","OVER_BUDGET")</f>
        <v>0</v>
      </c>
    </row>
    <row r="64" ht="20" customHeight="1" spans="1:6" x14ac:dyDescent="0.25">
      <c r="A64" s="13"/>
      <c r="B64" s="13"/>
      <c r="C64" s="14"/>
      <c r="D64" s="15">
        <f>SUMIFS('Ausgaben'!$D$5:$D$104,'Ausgaben'!$C$5:$C$104,B64,'Ausgaben'!$A$5:$A$104,"&gt;="&amp;DATE(2026,MATCH(A64,{"JAN","FEB","MAR","APR","MAY","JUN","JUL","AUG","SEP","OCT","NOV","DEC"},0),1),'Ausgaben'!$A$5:$A$104,"&lt;"&amp;EDATE(DATE(2026,MATCH(A64,{"JAN","FEB","MAR","APR","MAY","JUN","JUL","AUG","SEP","OCT","NOV","DEC"},0),1),1))</f>
        <v>0</v>
      </c>
      <c r="E64" s="15">
        <f>C64-D64</f>
        <v>0</v>
      </c>
      <c r="F64" s="16">
        <f>IF(D64&lt;=C64,"ON_TRACK","OVER_BUDGET")</f>
        <v>0</v>
      </c>
    </row>
    <row r="65" ht="20" customHeight="1" spans="1:6" x14ac:dyDescent="0.25">
      <c r="A65" s="13"/>
      <c r="B65" s="13"/>
      <c r="C65" s="14"/>
      <c r="D65" s="15">
        <f>SUMIFS('Ausgaben'!$D$5:$D$104,'Ausgaben'!$C$5:$C$104,B65,'Ausgaben'!$A$5:$A$104,"&gt;="&amp;DATE(2026,MATCH(A65,{"JAN","FEB","MAR","APR","MAY","JUN","JUL","AUG","SEP","OCT","NOV","DEC"},0),1),'Ausgaben'!$A$5:$A$104,"&lt;"&amp;EDATE(DATE(2026,MATCH(A65,{"JAN","FEB","MAR","APR","MAY","JUN","JUL","AUG","SEP","OCT","NOV","DEC"},0),1),1))</f>
        <v>0</v>
      </c>
      <c r="E65" s="15">
        <f>C65-D65</f>
        <v>0</v>
      </c>
      <c r="F65" s="16">
        <f>IF(D65&lt;=C65,"ON_TRACK","OVER_BUDGET")</f>
        <v>0</v>
      </c>
    </row>
    <row r="66" ht="20" customHeight="1" spans="1:6" x14ac:dyDescent="0.25">
      <c r="A66" s="13"/>
      <c r="B66" s="13"/>
      <c r="C66" s="14"/>
      <c r="D66" s="15">
        <f>SUMIFS('Ausgaben'!$D$5:$D$104,'Ausgaben'!$C$5:$C$104,B66,'Ausgaben'!$A$5:$A$104,"&gt;="&amp;DATE(2026,MATCH(A66,{"JAN","FEB","MAR","APR","MAY","JUN","JUL","AUG","SEP","OCT","NOV","DEC"},0),1),'Ausgaben'!$A$5:$A$104,"&lt;"&amp;EDATE(DATE(2026,MATCH(A66,{"JAN","FEB","MAR","APR","MAY","JUN","JUL","AUG","SEP","OCT","NOV","DEC"},0),1),1))</f>
        <v>0</v>
      </c>
      <c r="E66" s="15">
        <f>C66-D66</f>
        <v>0</v>
      </c>
      <c r="F66" s="16">
        <f>IF(D66&lt;=C66,"ON_TRACK","OVER_BUDGET")</f>
        <v>0</v>
      </c>
    </row>
    <row r="67" ht="20" customHeight="1" spans="1:6" x14ac:dyDescent="0.25">
      <c r="A67" s="13"/>
      <c r="B67" s="13"/>
      <c r="C67" s="14"/>
      <c r="D67" s="15">
        <f>SUMIFS('Ausgaben'!$D$5:$D$104,'Ausgaben'!$C$5:$C$104,B67,'Ausgaben'!$A$5:$A$104,"&gt;="&amp;DATE(2026,MATCH(A67,{"JAN","FEB","MAR","APR","MAY","JUN","JUL","AUG","SEP","OCT","NOV","DEC"},0),1),'Ausgaben'!$A$5:$A$104,"&lt;"&amp;EDATE(DATE(2026,MATCH(A67,{"JAN","FEB","MAR","APR","MAY","JUN","JUL","AUG","SEP","OCT","NOV","DEC"},0),1),1))</f>
        <v>0</v>
      </c>
      <c r="E67" s="15">
        <f>C67-D67</f>
        <v>0</v>
      </c>
      <c r="F67" s="16">
        <f>IF(D67&lt;=C67,"ON_TRACK","OVER_BUDGET")</f>
        <v>0</v>
      </c>
    </row>
    <row r="68" ht="20" customHeight="1" spans="1:6" x14ac:dyDescent="0.25">
      <c r="A68" s="13"/>
      <c r="B68" s="13"/>
      <c r="C68" s="14"/>
      <c r="D68" s="15">
        <f>SUMIFS('Ausgaben'!$D$5:$D$104,'Ausgaben'!$C$5:$C$104,B68,'Ausgaben'!$A$5:$A$104,"&gt;="&amp;DATE(2026,MATCH(A68,{"JAN","FEB","MAR","APR","MAY","JUN","JUL","AUG","SEP","OCT","NOV","DEC"},0),1),'Ausgaben'!$A$5:$A$104,"&lt;"&amp;EDATE(DATE(2026,MATCH(A68,{"JAN","FEB","MAR","APR","MAY","JUN","JUL","AUG","SEP","OCT","NOV","DEC"},0),1),1))</f>
        <v>0</v>
      </c>
      <c r="E68" s="15">
        <f>C68-D68</f>
        <v>0</v>
      </c>
      <c r="F68" s="16">
        <f>IF(D68&lt;=C68,"ON_TRACK","OVER_BUDGET")</f>
        <v>0</v>
      </c>
    </row>
    <row r="69" ht="20" customHeight="1" spans="1:6" x14ac:dyDescent="0.25">
      <c r="A69" s="13"/>
      <c r="B69" s="13"/>
      <c r="C69" s="14"/>
      <c r="D69" s="15">
        <f>SUMIFS('Ausgaben'!$D$5:$D$104,'Ausgaben'!$C$5:$C$104,B69,'Ausgaben'!$A$5:$A$104,"&gt;="&amp;DATE(2026,MATCH(A69,{"JAN","FEB","MAR","APR","MAY","JUN","JUL","AUG","SEP","OCT","NOV","DEC"},0),1),'Ausgaben'!$A$5:$A$104,"&lt;"&amp;EDATE(DATE(2026,MATCH(A69,{"JAN","FEB","MAR","APR","MAY","JUN","JUL","AUG","SEP","OCT","NOV","DEC"},0),1),1))</f>
        <v>0</v>
      </c>
      <c r="E69" s="15">
        <f>C69-D69</f>
        <v>0</v>
      </c>
      <c r="F69" s="16">
        <f>IF(D69&lt;=C69,"ON_TRACK","OVER_BUDGET")</f>
        <v>0</v>
      </c>
    </row>
    <row r="70" ht="20" customHeight="1" spans="1:6" x14ac:dyDescent="0.25">
      <c r="A70" s="13"/>
      <c r="B70" s="13"/>
      <c r="C70" s="14"/>
      <c r="D70" s="15">
        <f>SUMIFS('Ausgaben'!$D$5:$D$104,'Ausgaben'!$C$5:$C$104,B70,'Ausgaben'!$A$5:$A$104,"&gt;="&amp;DATE(2026,MATCH(A70,{"JAN","FEB","MAR","APR","MAY","JUN","JUL","AUG","SEP","OCT","NOV","DEC"},0),1),'Ausgaben'!$A$5:$A$104,"&lt;"&amp;EDATE(DATE(2026,MATCH(A70,{"JAN","FEB","MAR","APR","MAY","JUN","JUL","AUG","SEP","OCT","NOV","DEC"},0),1),1))</f>
        <v>0</v>
      </c>
      <c r="E70" s="15">
        <f>C70-D70</f>
        <v>0</v>
      </c>
      <c r="F70" s="16">
        <f>IF(D70&lt;=C70,"ON_TRACK","OVER_BUDGET")</f>
        <v>0</v>
      </c>
    </row>
    <row r="71" ht="20" customHeight="1" spans="1:6" x14ac:dyDescent="0.25">
      <c r="A71" s="13"/>
      <c r="B71" s="13"/>
      <c r="C71" s="14"/>
      <c r="D71" s="15">
        <f>SUMIFS('Ausgaben'!$D$5:$D$104,'Ausgaben'!$C$5:$C$104,B71,'Ausgaben'!$A$5:$A$104,"&gt;="&amp;DATE(2026,MATCH(A71,{"JAN","FEB","MAR","APR","MAY","JUN","JUL","AUG","SEP","OCT","NOV","DEC"},0),1),'Ausgaben'!$A$5:$A$104,"&lt;"&amp;EDATE(DATE(2026,MATCH(A71,{"JAN","FEB","MAR","APR","MAY","JUN","JUL","AUG","SEP","OCT","NOV","DEC"},0),1),1))</f>
        <v>0</v>
      </c>
      <c r="E71" s="15">
        <f>C71-D71</f>
        <v>0</v>
      </c>
      <c r="F71" s="16">
        <f>IF(D71&lt;=C71,"ON_TRACK","OVER_BUDGET")</f>
        <v>0</v>
      </c>
    </row>
    <row r="72" ht="20" customHeight="1" spans="1:6" x14ac:dyDescent="0.25">
      <c r="A72" s="13"/>
      <c r="B72" s="13"/>
      <c r="C72" s="14"/>
      <c r="D72" s="15">
        <f>SUMIFS('Ausgaben'!$D$5:$D$104,'Ausgaben'!$C$5:$C$104,B72,'Ausgaben'!$A$5:$A$104,"&gt;="&amp;DATE(2026,MATCH(A72,{"JAN","FEB","MAR","APR","MAY","JUN","JUL","AUG","SEP","OCT","NOV","DEC"},0),1),'Ausgaben'!$A$5:$A$104,"&lt;"&amp;EDATE(DATE(2026,MATCH(A72,{"JAN","FEB","MAR","APR","MAY","JUN","JUL","AUG","SEP","OCT","NOV","DEC"},0),1),1))</f>
        <v>0</v>
      </c>
      <c r="E72" s="15">
        <f>C72-D72</f>
        <v>0</v>
      </c>
      <c r="F72" s="16">
        <f>IF(D72&lt;=C72,"ON_TRACK","OVER_BUDGET")</f>
        <v>0</v>
      </c>
    </row>
    <row r="73" ht="20" customHeight="1" spans="1:6" x14ac:dyDescent="0.25">
      <c r="A73" s="13"/>
      <c r="B73" s="13"/>
      <c r="C73" s="14"/>
      <c r="D73" s="15">
        <f>SUMIFS('Ausgaben'!$D$5:$D$104,'Ausgaben'!$C$5:$C$104,B73,'Ausgaben'!$A$5:$A$104,"&gt;="&amp;DATE(2026,MATCH(A73,{"JAN","FEB","MAR","APR","MAY","JUN","JUL","AUG","SEP","OCT","NOV","DEC"},0),1),'Ausgaben'!$A$5:$A$104,"&lt;"&amp;EDATE(DATE(2026,MATCH(A73,{"JAN","FEB","MAR","APR","MAY","JUN","JUL","AUG","SEP","OCT","NOV","DEC"},0),1),1))</f>
        <v>0</v>
      </c>
      <c r="E73" s="15">
        <f>C73-D73</f>
        <v>0</v>
      </c>
      <c r="F73" s="16">
        <f>IF(D73&lt;=C73,"ON_TRACK","OVER_BUDGET")</f>
        <v>0</v>
      </c>
    </row>
    <row r="74" ht="20" customHeight="1" spans="1:6" x14ac:dyDescent="0.25">
      <c r="A74" s="13"/>
      <c r="B74" s="13"/>
      <c r="C74" s="14"/>
      <c r="D74" s="15">
        <f>SUMIFS('Ausgaben'!$D$5:$D$104,'Ausgaben'!$C$5:$C$104,B74,'Ausgaben'!$A$5:$A$104,"&gt;="&amp;DATE(2026,MATCH(A74,{"JAN","FEB","MAR","APR","MAY","JUN","JUL","AUG","SEP","OCT","NOV","DEC"},0),1),'Ausgaben'!$A$5:$A$104,"&lt;"&amp;EDATE(DATE(2026,MATCH(A74,{"JAN","FEB","MAR","APR","MAY","JUN","JUL","AUG","SEP","OCT","NOV","DEC"},0),1),1))</f>
        <v>0</v>
      </c>
      <c r="E74" s="15">
        <f>C74-D74</f>
        <v>0</v>
      </c>
      <c r="F74" s="16">
        <f>IF(D74&lt;=C74,"ON_TRACK","OVER_BUDGET")</f>
        <v>0</v>
      </c>
    </row>
    <row r="75" ht="20" customHeight="1" spans="1:6" x14ac:dyDescent="0.25">
      <c r="A75" s="13"/>
      <c r="B75" s="13"/>
      <c r="C75" s="14"/>
      <c r="D75" s="15">
        <f>SUMIFS('Ausgaben'!$D$5:$D$104,'Ausgaben'!$C$5:$C$104,B75,'Ausgaben'!$A$5:$A$104,"&gt;="&amp;DATE(2026,MATCH(A75,{"JAN","FEB","MAR","APR","MAY","JUN","JUL","AUG","SEP","OCT","NOV","DEC"},0),1),'Ausgaben'!$A$5:$A$104,"&lt;"&amp;EDATE(DATE(2026,MATCH(A75,{"JAN","FEB","MAR","APR","MAY","JUN","JUL","AUG","SEP","OCT","NOV","DEC"},0),1),1))</f>
        <v>0</v>
      </c>
      <c r="E75" s="15">
        <f>C75-D75</f>
        <v>0</v>
      </c>
      <c r="F75" s="16">
        <f>IF(D75&lt;=C75,"ON_TRACK","OVER_BUDGET")</f>
        <v>0</v>
      </c>
    </row>
    <row r="76" ht="20" customHeight="1" spans="1:6" x14ac:dyDescent="0.25">
      <c r="A76" s="13"/>
      <c r="B76" s="13"/>
      <c r="C76" s="14"/>
      <c r="D76" s="15">
        <f>SUMIFS('Ausgaben'!$D$5:$D$104,'Ausgaben'!$C$5:$C$104,B76,'Ausgaben'!$A$5:$A$104,"&gt;="&amp;DATE(2026,MATCH(A76,{"JAN","FEB","MAR","APR","MAY","JUN","JUL","AUG","SEP","OCT","NOV","DEC"},0),1),'Ausgaben'!$A$5:$A$104,"&lt;"&amp;EDATE(DATE(2026,MATCH(A76,{"JAN","FEB","MAR","APR","MAY","JUN","JUL","AUG","SEP","OCT","NOV","DEC"},0),1),1))</f>
        <v>0</v>
      </c>
      <c r="E76" s="15">
        <f>C76-D76</f>
        <v>0</v>
      </c>
      <c r="F76" s="16">
        <f>IF(D76&lt;=C76,"ON_TRACK","OVER_BUDGET")</f>
        <v>0</v>
      </c>
    </row>
    <row r="77" ht="20" customHeight="1" spans="1:6" x14ac:dyDescent="0.25">
      <c r="A77" s="13"/>
      <c r="B77" s="13"/>
      <c r="C77" s="14"/>
      <c r="D77" s="15">
        <f>SUMIFS('Ausgaben'!$D$5:$D$104,'Ausgaben'!$C$5:$C$104,B77,'Ausgaben'!$A$5:$A$104,"&gt;="&amp;DATE(2026,MATCH(A77,{"JAN","FEB","MAR","APR","MAY","JUN","JUL","AUG","SEP","OCT","NOV","DEC"},0),1),'Ausgaben'!$A$5:$A$104,"&lt;"&amp;EDATE(DATE(2026,MATCH(A77,{"JAN","FEB","MAR","APR","MAY","JUN","JUL","AUG","SEP","OCT","NOV","DEC"},0),1),1))</f>
        <v>0</v>
      </c>
      <c r="E77" s="15">
        <f>C77-D77</f>
        <v>0</v>
      </c>
      <c r="F77" s="16">
        <f>IF(D77&lt;=C77,"ON_TRACK","OVER_BUDGET")</f>
        <v>0</v>
      </c>
    </row>
    <row r="78" ht="20" customHeight="1" spans="1:6" x14ac:dyDescent="0.25">
      <c r="A78" s="13"/>
      <c r="B78" s="13"/>
      <c r="C78" s="14"/>
      <c r="D78" s="15">
        <f>SUMIFS('Ausgaben'!$D$5:$D$104,'Ausgaben'!$C$5:$C$104,B78,'Ausgaben'!$A$5:$A$104,"&gt;="&amp;DATE(2026,MATCH(A78,{"JAN","FEB","MAR","APR","MAY","JUN","JUL","AUG","SEP","OCT","NOV","DEC"},0),1),'Ausgaben'!$A$5:$A$104,"&lt;"&amp;EDATE(DATE(2026,MATCH(A78,{"JAN","FEB","MAR","APR","MAY","JUN","JUL","AUG","SEP","OCT","NOV","DEC"},0),1),1))</f>
        <v>0</v>
      </c>
      <c r="E78" s="15">
        <f>C78-D78</f>
        <v>0</v>
      </c>
      <c r="F78" s="16">
        <f>IF(D78&lt;=C78,"ON_TRACK","OVER_BUDGET")</f>
        <v>0</v>
      </c>
    </row>
    <row r="79" ht="20" customHeight="1" spans="1:6" x14ac:dyDescent="0.25">
      <c r="A79" s="13"/>
      <c r="B79" s="13"/>
      <c r="C79" s="14"/>
      <c r="D79" s="15">
        <f>SUMIFS('Ausgaben'!$D$5:$D$104,'Ausgaben'!$C$5:$C$104,B79,'Ausgaben'!$A$5:$A$104,"&gt;="&amp;DATE(2026,MATCH(A79,{"JAN","FEB","MAR","APR","MAY","JUN","JUL","AUG","SEP","OCT","NOV","DEC"},0),1),'Ausgaben'!$A$5:$A$104,"&lt;"&amp;EDATE(DATE(2026,MATCH(A79,{"JAN","FEB","MAR","APR","MAY","JUN","JUL","AUG","SEP","OCT","NOV","DEC"},0),1),1))</f>
        <v>0</v>
      </c>
      <c r="E79" s="15">
        <f>C79-D79</f>
        <v>0</v>
      </c>
      <c r="F79" s="16">
        <f>IF(D79&lt;=C79,"ON_TRACK","OVER_BUDGET")</f>
        <v>0</v>
      </c>
    </row>
    <row r="80" ht="20" customHeight="1" spans="1:6" x14ac:dyDescent="0.25">
      <c r="A80" s="13"/>
      <c r="B80" s="13"/>
      <c r="C80" s="14"/>
      <c r="D80" s="15">
        <f>SUMIFS('Ausgaben'!$D$5:$D$104,'Ausgaben'!$C$5:$C$104,B80,'Ausgaben'!$A$5:$A$104,"&gt;="&amp;DATE(2026,MATCH(A80,{"JAN","FEB","MAR","APR","MAY","JUN","JUL","AUG","SEP","OCT","NOV","DEC"},0),1),'Ausgaben'!$A$5:$A$104,"&lt;"&amp;EDATE(DATE(2026,MATCH(A80,{"JAN","FEB","MAR","APR","MAY","JUN","JUL","AUG","SEP","OCT","NOV","DEC"},0),1),1))</f>
        <v>0</v>
      </c>
      <c r="E80" s="15">
        <f>C80-D80</f>
        <v>0</v>
      </c>
      <c r="F80" s="16">
        <f>IF(D80&lt;=C80,"ON_TRACK","OVER_BUDGET")</f>
        <v>0</v>
      </c>
    </row>
    <row r="81" ht="20" customHeight="1" spans="1:6" x14ac:dyDescent="0.25">
      <c r="A81" s="13"/>
      <c r="B81" s="13"/>
      <c r="C81" s="14"/>
      <c r="D81" s="15">
        <f>SUMIFS('Ausgaben'!$D$5:$D$104,'Ausgaben'!$C$5:$C$104,B81,'Ausgaben'!$A$5:$A$104,"&gt;="&amp;DATE(2026,MATCH(A81,{"JAN","FEB","MAR","APR","MAY","JUN","JUL","AUG","SEP","OCT","NOV","DEC"},0),1),'Ausgaben'!$A$5:$A$104,"&lt;"&amp;EDATE(DATE(2026,MATCH(A81,{"JAN","FEB","MAR","APR","MAY","JUN","JUL","AUG","SEP","OCT","NOV","DEC"},0),1),1))</f>
        <v>0</v>
      </c>
      <c r="E81" s="15">
        <f>C81-D81</f>
        <v>0</v>
      </c>
      <c r="F81" s="16">
        <f>IF(D81&lt;=C81,"ON_TRACK","OVER_BUDGET")</f>
        <v>0</v>
      </c>
    </row>
    <row r="82" ht="20" customHeight="1" spans="1:6" x14ac:dyDescent="0.25">
      <c r="A82" s="13"/>
      <c r="B82" s="13"/>
      <c r="C82" s="14"/>
      <c r="D82" s="15">
        <f>SUMIFS('Ausgaben'!$D$5:$D$104,'Ausgaben'!$C$5:$C$104,B82,'Ausgaben'!$A$5:$A$104,"&gt;="&amp;DATE(2026,MATCH(A82,{"JAN","FEB","MAR","APR","MAY","JUN","JUL","AUG","SEP","OCT","NOV","DEC"},0),1),'Ausgaben'!$A$5:$A$104,"&lt;"&amp;EDATE(DATE(2026,MATCH(A82,{"JAN","FEB","MAR","APR","MAY","JUN","JUL","AUG","SEP","OCT","NOV","DEC"},0),1),1))</f>
        <v>0</v>
      </c>
      <c r="E82" s="15">
        <f>C82-D82</f>
        <v>0</v>
      </c>
      <c r="F82" s="16">
        <f>IF(D82&lt;=C82,"ON_TRACK","OVER_BUDGET")</f>
        <v>0</v>
      </c>
    </row>
    <row r="83" ht="20" customHeight="1" spans="1:6" x14ac:dyDescent="0.25">
      <c r="A83" s="13"/>
      <c r="B83" s="13"/>
      <c r="C83" s="14"/>
      <c r="D83" s="15">
        <f>SUMIFS('Ausgaben'!$D$5:$D$104,'Ausgaben'!$C$5:$C$104,B83,'Ausgaben'!$A$5:$A$104,"&gt;="&amp;DATE(2026,MATCH(A83,{"JAN","FEB","MAR","APR","MAY","JUN","JUL","AUG","SEP","OCT","NOV","DEC"},0),1),'Ausgaben'!$A$5:$A$104,"&lt;"&amp;EDATE(DATE(2026,MATCH(A83,{"JAN","FEB","MAR","APR","MAY","JUN","JUL","AUG","SEP","OCT","NOV","DEC"},0),1),1))</f>
        <v>0</v>
      </c>
      <c r="E83" s="15">
        <f>C83-D83</f>
        <v>0</v>
      </c>
      <c r="F83" s="16">
        <f>IF(D83&lt;=C83,"ON_TRACK","OVER_BUDGET")</f>
        <v>0</v>
      </c>
    </row>
    <row r="84" ht="20" customHeight="1" spans="1:6" x14ac:dyDescent="0.25">
      <c r="A84" s="13"/>
      <c r="B84" s="13"/>
      <c r="C84" s="14"/>
      <c r="D84" s="15">
        <f>SUMIFS('Ausgaben'!$D$5:$D$104,'Ausgaben'!$C$5:$C$104,B84,'Ausgaben'!$A$5:$A$104,"&gt;="&amp;DATE(2026,MATCH(A84,{"JAN","FEB","MAR","APR","MAY","JUN","JUL","AUG","SEP","OCT","NOV","DEC"},0),1),'Ausgaben'!$A$5:$A$104,"&lt;"&amp;EDATE(DATE(2026,MATCH(A84,{"JAN","FEB","MAR","APR","MAY","JUN","JUL","AUG","SEP","OCT","NOV","DEC"},0),1),1))</f>
        <v>0</v>
      </c>
      <c r="E84" s="15">
        <f>C84-D84</f>
        <v>0</v>
      </c>
      <c r="F84" s="16">
        <f>IF(D84&lt;=C84,"ON_TRACK","OVER_BUDGET")</f>
        <v>0</v>
      </c>
    </row>
    <row r="85" ht="20" customHeight="1" spans="1:6" x14ac:dyDescent="0.25">
      <c r="A85" s="13"/>
      <c r="B85" s="13"/>
      <c r="C85" s="14"/>
      <c r="D85" s="15">
        <f>SUMIFS('Ausgaben'!$D$5:$D$104,'Ausgaben'!$C$5:$C$104,B85,'Ausgaben'!$A$5:$A$104,"&gt;="&amp;DATE(2026,MATCH(A85,{"JAN","FEB","MAR","APR","MAY","JUN","JUL","AUG","SEP","OCT","NOV","DEC"},0),1),'Ausgaben'!$A$5:$A$104,"&lt;"&amp;EDATE(DATE(2026,MATCH(A85,{"JAN","FEB","MAR","APR","MAY","JUN","JUL","AUG","SEP","OCT","NOV","DEC"},0),1),1))</f>
        <v>0</v>
      </c>
      <c r="E85" s="15">
        <f>C85-D85</f>
        <v>0</v>
      </c>
      <c r="F85" s="16">
        <f>IF(D85&lt;=C85,"ON_TRACK","OVER_BUDGET")</f>
        <v>0</v>
      </c>
    </row>
    <row r="86" ht="20" customHeight="1" spans="1:6" x14ac:dyDescent="0.25">
      <c r="A86" s="13"/>
      <c r="B86" s="13"/>
      <c r="C86" s="14"/>
      <c r="D86" s="15">
        <f>SUMIFS('Ausgaben'!$D$5:$D$104,'Ausgaben'!$C$5:$C$104,B86,'Ausgaben'!$A$5:$A$104,"&gt;="&amp;DATE(2026,MATCH(A86,{"JAN","FEB","MAR","APR","MAY","JUN","JUL","AUG","SEP","OCT","NOV","DEC"},0),1),'Ausgaben'!$A$5:$A$104,"&lt;"&amp;EDATE(DATE(2026,MATCH(A86,{"JAN","FEB","MAR","APR","MAY","JUN","JUL","AUG","SEP","OCT","NOV","DEC"},0),1),1))</f>
        <v>0</v>
      </c>
      <c r="E86" s="15">
        <f>C86-D86</f>
        <v>0</v>
      </c>
      <c r="F86" s="16">
        <f>IF(D86&lt;=C86,"ON_TRACK","OVER_BUDGET")</f>
        <v>0</v>
      </c>
    </row>
    <row r="87" ht="20" customHeight="1" spans="1:6" x14ac:dyDescent="0.25">
      <c r="A87" s="13"/>
      <c r="B87" s="13"/>
      <c r="C87" s="14"/>
      <c r="D87" s="15">
        <f>SUMIFS('Ausgaben'!$D$5:$D$104,'Ausgaben'!$C$5:$C$104,B87,'Ausgaben'!$A$5:$A$104,"&gt;="&amp;DATE(2026,MATCH(A87,{"JAN","FEB","MAR","APR","MAY","JUN","JUL","AUG","SEP","OCT","NOV","DEC"},0),1),'Ausgaben'!$A$5:$A$104,"&lt;"&amp;EDATE(DATE(2026,MATCH(A87,{"JAN","FEB","MAR","APR","MAY","JUN","JUL","AUG","SEP","OCT","NOV","DEC"},0),1),1))</f>
        <v>0</v>
      </c>
      <c r="E87" s="15">
        <f>C87-D87</f>
        <v>0</v>
      </c>
      <c r="F87" s="16">
        <f>IF(D87&lt;=C87,"ON_TRACK","OVER_BUDGET")</f>
        <v>0</v>
      </c>
    </row>
    <row r="88" ht="20" customHeight="1" spans="1:6" x14ac:dyDescent="0.25">
      <c r="A88" s="13"/>
      <c r="B88" s="13"/>
      <c r="C88" s="14"/>
      <c r="D88" s="15">
        <f>SUMIFS('Ausgaben'!$D$5:$D$104,'Ausgaben'!$C$5:$C$104,B88,'Ausgaben'!$A$5:$A$104,"&gt;="&amp;DATE(2026,MATCH(A88,{"JAN","FEB","MAR","APR","MAY","JUN","JUL","AUG","SEP","OCT","NOV","DEC"},0),1),'Ausgaben'!$A$5:$A$104,"&lt;"&amp;EDATE(DATE(2026,MATCH(A88,{"JAN","FEB","MAR","APR","MAY","JUN","JUL","AUG","SEP","OCT","NOV","DEC"},0),1),1))</f>
        <v>0</v>
      </c>
      <c r="E88" s="15">
        <f>C88-D88</f>
        <v>0</v>
      </c>
      <c r="F88" s="16">
        <f>IF(D88&lt;=C88,"ON_TRACK","OVER_BUDGET")</f>
        <v>0</v>
      </c>
    </row>
    <row r="89" ht="20" customHeight="1" spans="1:6" x14ac:dyDescent="0.25">
      <c r="A89" s="13"/>
      <c r="B89" s="13"/>
      <c r="C89" s="14"/>
      <c r="D89" s="15">
        <f>SUMIFS('Ausgaben'!$D$5:$D$104,'Ausgaben'!$C$5:$C$104,B89,'Ausgaben'!$A$5:$A$104,"&gt;="&amp;DATE(2026,MATCH(A89,{"JAN","FEB","MAR","APR","MAY","JUN","JUL","AUG","SEP","OCT","NOV","DEC"},0),1),'Ausgaben'!$A$5:$A$104,"&lt;"&amp;EDATE(DATE(2026,MATCH(A89,{"JAN","FEB","MAR","APR","MAY","JUN","JUL","AUG","SEP","OCT","NOV","DEC"},0),1),1))</f>
        <v>0</v>
      </c>
      <c r="E89" s="15">
        <f>C89-D89</f>
        <v>0</v>
      </c>
      <c r="F89" s="16">
        <f>IF(D89&lt;=C89,"ON_TRACK","OVER_BUDGET")</f>
        <v>0</v>
      </c>
    </row>
    <row r="90" ht="20" customHeight="1" spans="1:6" x14ac:dyDescent="0.25">
      <c r="A90" s="13"/>
      <c r="B90" s="13"/>
      <c r="C90" s="14"/>
      <c r="D90" s="15">
        <f>SUMIFS('Ausgaben'!$D$5:$D$104,'Ausgaben'!$C$5:$C$104,B90,'Ausgaben'!$A$5:$A$104,"&gt;="&amp;DATE(2026,MATCH(A90,{"JAN","FEB","MAR","APR","MAY","JUN","JUL","AUG","SEP","OCT","NOV","DEC"},0),1),'Ausgaben'!$A$5:$A$104,"&lt;"&amp;EDATE(DATE(2026,MATCH(A90,{"JAN","FEB","MAR","APR","MAY","JUN","JUL","AUG","SEP","OCT","NOV","DEC"},0),1),1))</f>
        <v>0</v>
      </c>
      <c r="E90" s="15">
        <f>C90-D90</f>
        <v>0</v>
      </c>
      <c r="F90" s="16">
        <f>IF(D90&lt;=C90,"ON_TRACK","OVER_BUDGET")</f>
        <v>0</v>
      </c>
    </row>
    <row r="91" ht="20" customHeight="1" spans="1:6" x14ac:dyDescent="0.25">
      <c r="A91" s="13"/>
      <c r="B91" s="13"/>
      <c r="C91" s="14"/>
      <c r="D91" s="15">
        <f>SUMIFS('Ausgaben'!$D$5:$D$104,'Ausgaben'!$C$5:$C$104,B91,'Ausgaben'!$A$5:$A$104,"&gt;="&amp;DATE(2026,MATCH(A91,{"JAN","FEB","MAR","APR","MAY","JUN","JUL","AUG","SEP","OCT","NOV","DEC"},0),1),'Ausgaben'!$A$5:$A$104,"&lt;"&amp;EDATE(DATE(2026,MATCH(A91,{"JAN","FEB","MAR","APR","MAY","JUN","JUL","AUG","SEP","OCT","NOV","DEC"},0),1),1))</f>
        <v>0</v>
      </c>
      <c r="E91" s="15">
        <f>C91-D91</f>
        <v>0</v>
      </c>
      <c r="F91" s="16">
        <f>IF(D91&lt;=C91,"ON_TRACK","OVER_BUDGET")</f>
        <v>0</v>
      </c>
    </row>
    <row r="92" ht="20" customHeight="1" spans="1:6" x14ac:dyDescent="0.25">
      <c r="A92" s="13"/>
      <c r="B92" s="13"/>
      <c r="C92" s="14"/>
      <c r="D92" s="15">
        <f>SUMIFS('Ausgaben'!$D$5:$D$104,'Ausgaben'!$C$5:$C$104,B92,'Ausgaben'!$A$5:$A$104,"&gt;="&amp;DATE(2026,MATCH(A92,{"JAN","FEB","MAR","APR","MAY","JUN","JUL","AUG","SEP","OCT","NOV","DEC"},0),1),'Ausgaben'!$A$5:$A$104,"&lt;"&amp;EDATE(DATE(2026,MATCH(A92,{"JAN","FEB","MAR","APR","MAY","JUN","JUL","AUG","SEP","OCT","NOV","DEC"},0),1),1))</f>
        <v>0</v>
      </c>
      <c r="E92" s="15">
        <f>C92-D92</f>
        <v>0</v>
      </c>
      <c r="F92" s="16">
        <f>IF(D92&lt;=C92,"ON_TRACK","OVER_BUDGET")</f>
        <v>0</v>
      </c>
    </row>
    <row r="93" ht="20" customHeight="1" spans="1:6" x14ac:dyDescent="0.25">
      <c r="A93" s="13"/>
      <c r="B93" s="13"/>
      <c r="C93" s="14"/>
      <c r="D93" s="15">
        <f>SUMIFS('Ausgaben'!$D$5:$D$104,'Ausgaben'!$C$5:$C$104,B93,'Ausgaben'!$A$5:$A$104,"&gt;="&amp;DATE(2026,MATCH(A93,{"JAN","FEB","MAR","APR","MAY","JUN","JUL","AUG","SEP","OCT","NOV","DEC"},0),1),'Ausgaben'!$A$5:$A$104,"&lt;"&amp;EDATE(DATE(2026,MATCH(A93,{"JAN","FEB","MAR","APR","MAY","JUN","JUL","AUG","SEP","OCT","NOV","DEC"},0),1),1))</f>
        <v>0</v>
      </c>
      <c r="E93" s="15">
        <f>C93-D93</f>
        <v>0</v>
      </c>
      <c r="F93" s="16">
        <f>IF(D93&lt;=C93,"ON_TRACK","OVER_BUDGET")</f>
        <v>0</v>
      </c>
    </row>
    <row r="94" ht="20" customHeight="1" spans="1:6" x14ac:dyDescent="0.25">
      <c r="A94" s="13"/>
      <c r="B94" s="13"/>
      <c r="C94" s="14"/>
      <c r="D94" s="15">
        <f>SUMIFS('Ausgaben'!$D$5:$D$104,'Ausgaben'!$C$5:$C$104,B94,'Ausgaben'!$A$5:$A$104,"&gt;="&amp;DATE(2026,MATCH(A94,{"JAN","FEB","MAR","APR","MAY","JUN","JUL","AUG","SEP","OCT","NOV","DEC"},0),1),'Ausgaben'!$A$5:$A$104,"&lt;"&amp;EDATE(DATE(2026,MATCH(A94,{"JAN","FEB","MAR","APR","MAY","JUN","JUL","AUG","SEP","OCT","NOV","DEC"},0),1),1))</f>
        <v>0</v>
      </c>
      <c r="E94" s="15">
        <f>C94-D94</f>
        <v>0</v>
      </c>
      <c r="F94" s="16">
        <f>IF(D94&lt;=C94,"ON_TRACK","OVER_BUDGET")</f>
        <v>0</v>
      </c>
    </row>
    <row r="95" ht="20" customHeight="1" spans="1:6" x14ac:dyDescent="0.25">
      <c r="A95" s="13"/>
      <c r="B95" s="13"/>
      <c r="C95" s="14"/>
      <c r="D95" s="15">
        <f>SUMIFS('Ausgaben'!$D$5:$D$104,'Ausgaben'!$C$5:$C$104,B95,'Ausgaben'!$A$5:$A$104,"&gt;="&amp;DATE(2026,MATCH(A95,{"JAN","FEB","MAR","APR","MAY","JUN","JUL","AUG","SEP","OCT","NOV","DEC"},0),1),'Ausgaben'!$A$5:$A$104,"&lt;"&amp;EDATE(DATE(2026,MATCH(A95,{"JAN","FEB","MAR","APR","MAY","JUN","JUL","AUG","SEP","OCT","NOV","DEC"},0),1),1))</f>
        <v>0</v>
      </c>
      <c r="E95" s="15">
        <f>C95-D95</f>
        <v>0</v>
      </c>
      <c r="F95" s="16">
        <f>IF(D95&lt;=C95,"ON_TRACK","OVER_BUDGET")</f>
        <v>0</v>
      </c>
    </row>
    <row r="96" ht="20" customHeight="1" spans="1:6" x14ac:dyDescent="0.25">
      <c r="A96" s="13"/>
      <c r="B96" s="13"/>
      <c r="C96" s="14"/>
      <c r="D96" s="15">
        <f>SUMIFS('Ausgaben'!$D$5:$D$104,'Ausgaben'!$C$5:$C$104,B96,'Ausgaben'!$A$5:$A$104,"&gt;="&amp;DATE(2026,MATCH(A96,{"JAN","FEB","MAR","APR","MAY","JUN","JUL","AUG","SEP","OCT","NOV","DEC"},0),1),'Ausgaben'!$A$5:$A$104,"&lt;"&amp;EDATE(DATE(2026,MATCH(A96,{"JAN","FEB","MAR","APR","MAY","JUN","JUL","AUG","SEP","OCT","NOV","DEC"},0),1),1))</f>
        <v>0</v>
      </c>
      <c r="E96" s="15">
        <f>C96-D96</f>
        <v>0</v>
      </c>
      <c r="F96" s="16">
        <f>IF(D96&lt;=C96,"ON_TRACK","OVER_BUDGET")</f>
        <v>0</v>
      </c>
    </row>
    <row r="97" ht="20" customHeight="1" spans="1:6" x14ac:dyDescent="0.25">
      <c r="A97" s="13"/>
      <c r="B97" s="13"/>
      <c r="C97" s="14"/>
      <c r="D97" s="15">
        <f>SUMIFS('Ausgaben'!$D$5:$D$104,'Ausgaben'!$C$5:$C$104,B97,'Ausgaben'!$A$5:$A$104,"&gt;="&amp;DATE(2026,MATCH(A97,{"JAN","FEB","MAR","APR","MAY","JUN","JUL","AUG","SEP","OCT","NOV","DEC"},0),1),'Ausgaben'!$A$5:$A$104,"&lt;"&amp;EDATE(DATE(2026,MATCH(A97,{"JAN","FEB","MAR","APR","MAY","JUN","JUL","AUG","SEP","OCT","NOV","DEC"},0),1),1))</f>
        <v>0</v>
      </c>
      <c r="E97" s="15">
        <f>C97-D97</f>
        <v>0</v>
      </c>
      <c r="F97" s="16">
        <f>IF(D97&lt;=C97,"ON_TRACK","OVER_BUDGET")</f>
        <v>0</v>
      </c>
    </row>
    <row r="98" ht="20" customHeight="1" spans="1:6" x14ac:dyDescent="0.25">
      <c r="A98" s="13"/>
      <c r="B98" s="13"/>
      <c r="C98" s="14"/>
      <c r="D98" s="15">
        <f>SUMIFS('Ausgaben'!$D$5:$D$104,'Ausgaben'!$C$5:$C$104,B98,'Ausgaben'!$A$5:$A$104,"&gt;="&amp;DATE(2026,MATCH(A98,{"JAN","FEB","MAR","APR","MAY","JUN","JUL","AUG","SEP","OCT","NOV","DEC"},0),1),'Ausgaben'!$A$5:$A$104,"&lt;"&amp;EDATE(DATE(2026,MATCH(A98,{"JAN","FEB","MAR","APR","MAY","JUN","JUL","AUG","SEP","OCT","NOV","DEC"},0),1),1))</f>
        <v>0</v>
      </c>
      <c r="E98" s="15">
        <f>C98-D98</f>
        <v>0</v>
      </c>
      <c r="F98" s="16">
        <f>IF(D98&lt;=C98,"ON_TRACK","OVER_BUDGET")</f>
        <v>0</v>
      </c>
    </row>
    <row r="99" ht="20" customHeight="1" spans="1:6" x14ac:dyDescent="0.25">
      <c r="A99" s="13"/>
      <c r="B99" s="13"/>
      <c r="C99" s="14"/>
      <c r="D99" s="15">
        <f>SUMIFS('Ausgaben'!$D$5:$D$104,'Ausgaben'!$C$5:$C$104,B99,'Ausgaben'!$A$5:$A$104,"&gt;="&amp;DATE(2026,MATCH(A99,{"JAN","FEB","MAR","APR","MAY","JUN","JUL","AUG","SEP","OCT","NOV","DEC"},0),1),'Ausgaben'!$A$5:$A$104,"&lt;"&amp;EDATE(DATE(2026,MATCH(A99,{"JAN","FEB","MAR","APR","MAY","JUN","JUL","AUG","SEP","OCT","NOV","DEC"},0),1),1))</f>
        <v>0</v>
      </c>
      <c r="E99" s="15">
        <f>C99-D99</f>
        <v>0</v>
      </c>
      <c r="F99" s="16">
        <f>IF(D99&lt;=C99,"ON_TRACK","OVER_BUDGET")</f>
        <v>0</v>
      </c>
    </row>
    <row r="100" ht="20" customHeight="1" spans="1:6" x14ac:dyDescent="0.25">
      <c r="A100" s="13"/>
      <c r="B100" s="13"/>
      <c r="C100" s="14"/>
      <c r="D100" s="15">
        <f>SUMIFS('Ausgaben'!$D$5:$D$104,'Ausgaben'!$C$5:$C$104,B100,'Ausgaben'!$A$5:$A$104,"&gt;="&amp;DATE(2026,MATCH(A100,{"JAN","FEB","MAR","APR","MAY","JUN","JUL","AUG","SEP","OCT","NOV","DEC"},0),1),'Ausgaben'!$A$5:$A$104,"&lt;"&amp;EDATE(DATE(2026,MATCH(A100,{"JAN","FEB","MAR","APR","MAY","JUN","JUL","AUG","SEP","OCT","NOV","DEC"},0),1),1))</f>
        <v>0</v>
      </c>
      <c r="E100" s="15">
        <f>C100-D100</f>
        <v>0</v>
      </c>
      <c r="F100" s="16">
        <f>IF(D100&lt;=C100,"ON_TRACK","OVER_BUDGET")</f>
        <v>0</v>
      </c>
    </row>
    <row r="101" ht="20" customHeight="1" spans="1:6" x14ac:dyDescent="0.25">
      <c r="A101" s="13"/>
      <c r="B101" s="13"/>
      <c r="C101" s="14"/>
      <c r="D101" s="15">
        <f>SUMIFS('Ausgaben'!$D$5:$D$104,'Ausgaben'!$C$5:$C$104,B101,'Ausgaben'!$A$5:$A$104,"&gt;="&amp;DATE(2026,MATCH(A101,{"JAN","FEB","MAR","APR","MAY","JUN","JUL","AUG","SEP","OCT","NOV","DEC"},0),1),'Ausgaben'!$A$5:$A$104,"&lt;"&amp;EDATE(DATE(2026,MATCH(A101,{"JAN","FEB","MAR","APR","MAY","JUN","JUL","AUG","SEP","OCT","NOV","DEC"},0),1),1))</f>
        <v>0</v>
      </c>
      <c r="E101" s="15">
        <f>C101-D101</f>
        <v>0</v>
      </c>
      <c r="F101" s="16">
        <f>IF(D101&lt;=C101,"ON_TRACK","OVER_BUDGET")</f>
        <v>0</v>
      </c>
    </row>
    <row r="102" ht="20" customHeight="1" spans="1:6" x14ac:dyDescent="0.25">
      <c r="A102" s="13"/>
      <c r="B102" s="13"/>
      <c r="C102" s="14"/>
      <c r="D102" s="15">
        <f>SUMIFS('Ausgaben'!$D$5:$D$104,'Ausgaben'!$C$5:$C$104,B102,'Ausgaben'!$A$5:$A$104,"&gt;="&amp;DATE(2026,MATCH(A102,{"JAN","FEB","MAR","APR","MAY","JUN","JUL","AUG","SEP","OCT","NOV","DEC"},0),1),'Ausgaben'!$A$5:$A$104,"&lt;"&amp;EDATE(DATE(2026,MATCH(A102,{"JAN","FEB","MAR","APR","MAY","JUN","JUL","AUG","SEP","OCT","NOV","DEC"},0),1),1))</f>
        <v>0</v>
      </c>
      <c r="E102" s="15">
        <f>C102-D102</f>
        <v>0</v>
      </c>
      <c r="F102" s="16">
        <f>IF(D102&lt;=C102,"ON_TRACK","OVER_BUDGET")</f>
        <v>0</v>
      </c>
    </row>
    <row r="103" ht="20" customHeight="1" spans="1:6" x14ac:dyDescent="0.25">
      <c r="A103" s="13"/>
      <c r="B103" s="13"/>
      <c r="C103" s="14"/>
      <c r="D103" s="15">
        <f>SUMIFS('Ausgaben'!$D$5:$D$104,'Ausgaben'!$C$5:$C$104,B103,'Ausgaben'!$A$5:$A$104,"&gt;="&amp;DATE(2026,MATCH(A103,{"JAN","FEB","MAR","APR","MAY","JUN","JUL","AUG","SEP","OCT","NOV","DEC"},0),1),'Ausgaben'!$A$5:$A$104,"&lt;"&amp;EDATE(DATE(2026,MATCH(A103,{"JAN","FEB","MAR","APR","MAY","JUN","JUL","AUG","SEP","OCT","NOV","DEC"},0),1),1))</f>
        <v>0</v>
      </c>
      <c r="E103" s="15">
        <f>C103-D103</f>
        <v>0</v>
      </c>
      <c r="F103" s="16">
        <f>IF(D103&lt;=C103,"ON_TRACK","OVER_BUDGET")</f>
        <v>0</v>
      </c>
    </row>
    <row r="104" ht="20" customHeight="1" spans="1:6" x14ac:dyDescent="0.25">
      <c r="A104" s="13"/>
      <c r="B104" s="13"/>
      <c r="C104" s="14"/>
      <c r="D104" s="15">
        <f>SUMIFS('Ausgaben'!$D$5:$D$104,'Ausgaben'!$C$5:$C$104,B104,'Ausgaben'!$A$5:$A$104,"&gt;="&amp;DATE(2026,MATCH(A104,{"JAN","FEB","MAR","APR","MAY","JUN","JUL","AUG","SEP","OCT","NOV","DEC"},0),1),'Ausgaben'!$A$5:$A$104,"&lt;"&amp;EDATE(DATE(2026,MATCH(A104,{"JAN","FEB","MAR","APR","MAY","JUN","JUL","AUG","SEP","OCT","NOV","DEC"},0),1),1))</f>
        <v>0</v>
      </c>
      <c r="E104" s="15">
        <f>C104-D104</f>
        <v>0</v>
      </c>
      <c r="F104" s="16">
        <f>IF(D104&lt;=C104,"ON_TRACK","OVER_BUDGET")</f>
        <v>0</v>
      </c>
    </row>
  </sheetData>
  <sheetProtection sheet="1" autoFilter="0" algorithmName="SHA-512" hashValue="9rlbuSi6kG4cPjYGRJ9Ym4far8xBNZPVNQ5Zgk8C8PSEhywkUiAYn7MNXdzdR6zh6fQenJ8saJrj/Eh6pPkKTA==" saltValue="7fm/bt6OZCTuseaPc/KUUQ==" spinCount="1000"/>
  <mergeCells count="3">
    <mergeCell ref="A1:F1"/>
    <mergeCell ref="A2:F2"/>
    <mergeCell ref="A3:F3"/>
  </mergeCells>
  <conditionalFormatting sqref="E5:E104">
    <cfRule type="cellIs" dxfId="0" priority="1" operator="lessThan">
      <formula>0</formula>
    </cfRule>
    <cfRule type="cellIs" dxfId="1" priority="2" operator="greaterThanOrEqual">
      <formula>0</formula>
    </cfRule>
  </conditionalFormatting>
  <dataValidations count="6">
    <dataValidation type="list" showInputMessage="1" promptTitle="Input guidance" prompt="Dieses Feld ist erforderlich." showErrorMessage="1" errorStyle="stop" errorTitle="Invalid value" error="Dieses Feld ist erforderlich." sqref="A10:A104">
      <formula1>"JAN,FEB,MAR,APR,MAY,JUN,JUL,AUG,SEP,OCT,NOV,DEC"</formula1>
    </dataValidation>
    <dataValidation type="list" showInputMessage="1" promptTitle="Input guidance" prompt="Dieses Feld ist erforderlich." showErrorMessage="1" errorStyle="stop" errorTitle="Invalid value" error="Dieses Feld ist erforderlich." sqref="A5:A104">
      <formula1>"JAN,FEB,MAR,APR,MAY,JUN,JUL,AUG,SEP,OCT,NOV,DEC"</formula1>
    </dataValidation>
    <dataValidation type="list" showInputMessage="1" promptTitle="Input guidance" prompt="Dieses Feld ist erforderlich." showErrorMessage="1" errorStyle="stop" errorTitle="Invalid value" error="Dieses Feld ist erforderlich." sqref="B10:B104">
      <formula1>'Kategorien'!$A$5:$A$44</formula1>
    </dataValidation>
    <dataValidation type="list" showInputMessage="1" promptTitle="Input guidance" prompt="Dieses Feld ist erforderlich." showErrorMessage="1" errorStyle="stop" errorTitle="Invalid value" error="Dieses Feld ist erforderlich." sqref="B5:B104">
      <formula1>'Kategorien'!$A$5:$A$44</formula1>
    </dataValidation>
    <dataValidation type="decimal" operator="greaterThanOrEqual" showInputMessage="1" promptTitle="Input guidance" prompt="Dieses Feld ist erforderlich." showErrorMessage="1" errorStyle="stop" errorTitle="Invalid value" error="Dieses Feld ist erforderlich." sqref="C10:C104">
      <formula1>0</formula1>
    </dataValidation>
    <dataValidation type="decimal" operator="greaterThanOrEqual" showInputMessage="1" promptTitle="Input guidance" prompt="Dieses Feld ist erforderlich." showErrorMessage="1" errorStyle="stop" errorTitle="Invalid value" error="Dieses Feld ist erforderlich." sqref="C5:C104">
      <formula1>0</formula1>
    </dataValidation>
  </dataValidation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645B"/>
    <pageSetUpPr fitToPage="1"/>
  </sheetPr>
  <dimension ref="A1:D10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14" style="17" customWidth="1"/>
    <col min="2" max="2" width="28" style="1" customWidth="1"/>
    <col min="3" max="3" width="22" style="1" customWidth="1"/>
    <col min="4" max="4" width="16" style="2" customWidth="1"/>
  </cols>
  <sheetData>
    <row r="1" ht="34" customHeight="1" spans="1:4" x14ac:dyDescent="0.25">
      <c r="A1" s="3" t="s">
        <v>0</v>
      </c>
      <c r="B1" s="3"/>
      <c r="C1" s="3"/>
      <c r="D1" s="3"/>
    </row>
    <row r="2" ht="30" customHeight="1" spans="1:4" x14ac:dyDescent="0.25">
      <c r="A2" s="4" t="s">
        <v>1</v>
      </c>
      <c r="B2" s="4"/>
      <c r="C2" s="4"/>
      <c r="D2" s="4"/>
    </row>
    <row r="3" ht="22" customHeight="1" spans="1:4" x14ac:dyDescent="0.25">
      <c r="A3" s="5" t="s">
        <v>2</v>
      </c>
      <c r="B3" s="5"/>
      <c r="C3" s="5"/>
      <c r="D3" s="5"/>
    </row>
    <row r="4" ht="26" customHeight="1" spans="1:4" x14ac:dyDescent="0.25">
      <c r="A4" s="18" t="s">
        <v>20</v>
      </c>
      <c r="B4" s="6" t="s">
        <v>3</v>
      </c>
      <c r="C4" s="6" t="s">
        <v>9</v>
      </c>
      <c r="D4" s="7" t="s">
        <v>21</v>
      </c>
    </row>
    <row r="5" ht="20" customHeight="1" spans="1:4" x14ac:dyDescent="0.25">
      <c r="A5" s="19">
        <v>46047.5</v>
      </c>
      <c r="B5" s="13" t="s">
        <v>22</v>
      </c>
      <c r="C5" s="13" t="s">
        <v>23</v>
      </c>
      <c r="D5" s="14">
        <v>3200</v>
      </c>
    </row>
    <row r="6" ht="20" customHeight="1" spans="1:4" x14ac:dyDescent="0.25">
      <c r="A6" s="19">
        <v>46053.5</v>
      </c>
      <c r="B6" s="13" t="s">
        <v>24</v>
      </c>
      <c r="C6" s="13" t="s">
        <v>25</v>
      </c>
      <c r="D6" s="14">
        <v>450</v>
      </c>
    </row>
    <row r="7" ht="20" customHeight="1" spans="1:4" x14ac:dyDescent="0.25">
      <c r="A7" s="19">
        <v>46078.5</v>
      </c>
      <c r="B7" s="13" t="s">
        <v>22</v>
      </c>
      <c r="C7" s="13" t="s">
        <v>23</v>
      </c>
      <c r="D7" s="14">
        <v>3200</v>
      </c>
    </row>
    <row r="8" ht="20" customHeight="1" spans="1:4" x14ac:dyDescent="0.25">
      <c r="A8" s="19"/>
      <c r="B8" s="13"/>
      <c r="C8" s="13"/>
      <c r="D8" s="14"/>
    </row>
    <row r="9" ht="20" customHeight="1" spans="1:4" x14ac:dyDescent="0.25">
      <c r="A9" s="19"/>
      <c r="B9" s="13"/>
      <c r="C9" s="13"/>
      <c r="D9" s="14"/>
    </row>
    <row r="10" ht="20" customHeight="1" spans="1:4" x14ac:dyDescent="0.25">
      <c r="A10" s="19"/>
      <c r="B10" s="13"/>
      <c r="C10" s="13"/>
      <c r="D10" s="14"/>
    </row>
    <row r="11" ht="20" customHeight="1" spans="1:4" x14ac:dyDescent="0.25">
      <c r="A11" s="19"/>
      <c r="B11" s="13"/>
      <c r="C11" s="13"/>
      <c r="D11" s="14"/>
    </row>
    <row r="12" ht="20" customHeight="1" spans="1:4" x14ac:dyDescent="0.25">
      <c r="A12" s="19"/>
      <c r="B12" s="13"/>
      <c r="C12" s="13"/>
      <c r="D12" s="14"/>
    </row>
    <row r="13" ht="20" customHeight="1" spans="1:4" x14ac:dyDescent="0.25">
      <c r="A13" s="19"/>
      <c r="B13" s="13"/>
      <c r="C13" s="13"/>
      <c r="D13" s="14"/>
    </row>
    <row r="14" ht="20" customHeight="1" spans="1:4" x14ac:dyDescent="0.25">
      <c r="A14" s="19"/>
      <c r="B14" s="13"/>
      <c r="C14" s="13"/>
      <c r="D14" s="14"/>
    </row>
    <row r="15" ht="20" customHeight="1" spans="1:4" x14ac:dyDescent="0.25">
      <c r="A15" s="19"/>
      <c r="B15" s="13"/>
      <c r="C15" s="13"/>
      <c r="D15" s="14"/>
    </row>
    <row r="16" ht="20" customHeight="1" spans="1:4" x14ac:dyDescent="0.25">
      <c r="A16" s="19"/>
      <c r="B16" s="13"/>
      <c r="C16" s="13"/>
      <c r="D16" s="14"/>
    </row>
    <row r="17" ht="20" customHeight="1" spans="1:4" x14ac:dyDescent="0.25">
      <c r="A17" s="19"/>
      <c r="B17" s="13"/>
      <c r="C17" s="13"/>
      <c r="D17" s="14"/>
    </row>
    <row r="18" ht="20" customHeight="1" spans="1:4" x14ac:dyDescent="0.25">
      <c r="A18" s="19"/>
      <c r="B18" s="13"/>
      <c r="C18" s="13"/>
      <c r="D18" s="14"/>
    </row>
    <row r="19" ht="20" customHeight="1" spans="1:4" x14ac:dyDescent="0.25">
      <c r="A19" s="19"/>
      <c r="B19" s="13"/>
      <c r="C19" s="13"/>
      <c r="D19" s="14"/>
    </row>
    <row r="20" ht="20" customHeight="1" spans="1:4" x14ac:dyDescent="0.25">
      <c r="A20" s="19"/>
      <c r="B20" s="13"/>
      <c r="C20" s="13"/>
      <c r="D20" s="14"/>
    </row>
    <row r="21" ht="20" customHeight="1" spans="1:4" x14ac:dyDescent="0.25">
      <c r="A21" s="19"/>
      <c r="B21" s="13"/>
      <c r="C21" s="13"/>
      <c r="D21" s="14"/>
    </row>
    <row r="22" ht="20" customHeight="1" spans="1:4" x14ac:dyDescent="0.25">
      <c r="A22" s="19"/>
      <c r="B22" s="13"/>
      <c r="C22" s="13"/>
      <c r="D22" s="14"/>
    </row>
    <row r="23" ht="20" customHeight="1" spans="1:4" x14ac:dyDescent="0.25">
      <c r="A23" s="19"/>
      <c r="B23" s="13"/>
      <c r="C23" s="13"/>
      <c r="D23" s="14"/>
    </row>
    <row r="24" ht="20" customHeight="1" spans="1:4" x14ac:dyDescent="0.25">
      <c r="A24" s="19"/>
      <c r="B24" s="13"/>
      <c r="C24" s="13"/>
      <c r="D24" s="14"/>
    </row>
    <row r="25" ht="20" customHeight="1" spans="1:4" x14ac:dyDescent="0.25">
      <c r="A25" s="19"/>
      <c r="B25" s="13"/>
      <c r="C25" s="13"/>
      <c r="D25" s="14"/>
    </row>
    <row r="26" ht="20" customHeight="1" spans="1:4" x14ac:dyDescent="0.25">
      <c r="A26" s="19"/>
      <c r="B26" s="13"/>
      <c r="C26" s="13"/>
      <c r="D26" s="14"/>
    </row>
    <row r="27" ht="20" customHeight="1" spans="1:4" x14ac:dyDescent="0.25">
      <c r="A27" s="19"/>
      <c r="B27" s="13"/>
      <c r="C27" s="13"/>
      <c r="D27" s="14"/>
    </row>
    <row r="28" ht="20" customHeight="1" spans="1:4" x14ac:dyDescent="0.25">
      <c r="A28" s="19"/>
      <c r="B28" s="13"/>
      <c r="C28" s="13"/>
      <c r="D28" s="14"/>
    </row>
    <row r="29" ht="20" customHeight="1" spans="1:4" x14ac:dyDescent="0.25">
      <c r="A29" s="19"/>
      <c r="B29" s="13"/>
      <c r="C29" s="13"/>
      <c r="D29" s="14"/>
    </row>
    <row r="30" ht="20" customHeight="1" spans="1:4" x14ac:dyDescent="0.25">
      <c r="A30" s="19"/>
      <c r="B30" s="13"/>
      <c r="C30" s="13"/>
      <c r="D30" s="14"/>
    </row>
    <row r="31" ht="20" customHeight="1" spans="1:4" x14ac:dyDescent="0.25">
      <c r="A31" s="19"/>
      <c r="B31" s="13"/>
      <c r="C31" s="13"/>
      <c r="D31" s="14"/>
    </row>
    <row r="32" ht="20" customHeight="1" spans="1:4" x14ac:dyDescent="0.25">
      <c r="A32" s="19"/>
      <c r="B32" s="13"/>
      <c r="C32" s="13"/>
      <c r="D32" s="14"/>
    </row>
    <row r="33" ht="20" customHeight="1" spans="1:4" x14ac:dyDescent="0.25">
      <c r="A33" s="19"/>
      <c r="B33" s="13"/>
      <c r="C33" s="13"/>
      <c r="D33" s="14"/>
    </row>
    <row r="34" ht="20" customHeight="1" spans="1:4" x14ac:dyDescent="0.25">
      <c r="A34" s="19"/>
      <c r="B34" s="13"/>
      <c r="C34" s="13"/>
      <c r="D34" s="14"/>
    </row>
    <row r="35" ht="20" customHeight="1" spans="1:4" x14ac:dyDescent="0.25">
      <c r="A35" s="19"/>
      <c r="B35" s="13"/>
      <c r="C35" s="13"/>
      <c r="D35" s="14"/>
    </row>
    <row r="36" ht="20" customHeight="1" spans="1:4" x14ac:dyDescent="0.25">
      <c r="A36" s="19"/>
      <c r="B36" s="13"/>
      <c r="C36" s="13"/>
      <c r="D36" s="14"/>
    </row>
    <row r="37" ht="20" customHeight="1" spans="1:4" x14ac:dyDescent="0.25">
      <c r="A37" s="19"/>
      <c r="B37" s="13"/>
      <c r="C37" s="13"/>
      <c r="D37" s="14"/>
    </row>
    <row r="38" ht="20" customHeight="1" spans="1:4" x14ac:dyDescent="0.25">
      <c r="A38" s="19"/>
      <c r="B38" s="13"/>
      <c r="C38" s="13"/>
      <c r="D38" s="14"/>
    </row>
    <row r="39" ht="20" customHeight="1" spans="1:4" x14ac:dyDescent="0.25">
      <c r="A39" s="19"/>
      <c r="B39" s="13"/>
      <c r="C39" s="13"/>
      <c r="D39" s="14"/>
    </row>
    <row r="40" ht="20" customHeight="1" spans="1:4" x14ac:dyDescent="0.25">
      <c r="A40" s="19"/>
      <c r="B40" s="13"/>
      <c r="C40" s="13"/>
      <c r="D40" s="14"/>
    </row>
    <row r="41" ht="20" customHeight="1" spans="1:4" x14ac:dyDescent="0.25">
      <c r="A41" s="19"/>
      <c r="B41" s="13"/>
      <c r="C41" s="13"/>
      <c r="D41" s="14"/>
    </row>
    <row r="42" ht="20" customHeight="1" spans="1:4" x14ac:dyDescent="0.25">
      <c r="A42" s="19"/>
      <c r="B42" s="13"/>
      <c r="C42" s="13"/>
      <c r="D42" s="14"/>
    </row>
    <row r="43" ht="20" customHeight="1" spans="1:4" x14ac:dyDescent="0.25">
      <c r="A43" s="19"/>
      <c r="B43" s="13"/>
      <c r="C43" s="13"/>
      <c r="D43" s="14"/>
    </row>
    <row r="44" ht="20" customHeight="1" spans="1:4" x14ac:dyDescent="0.25">
      <c r="A44" s="19"/>
      <c r="B44" s="13"/>
      <c r="C44" s="13"/>
      <c r="D44" s="14"/>
    </row>
    <row r="45" ht="20" customHeight="1" spans="1:4" x14ac:dyDescent="0.25">
      <c r="A45" s="19"/>
      <c r="B45" s="13"/>
      <c r="C45" s="13"/>
      <c r="D45" s="14"/>
    </row>
    <row r="46" ht="20" customHeight="1" spans="1:4" x14ac:dyDescent="0.25">
      <c r="A46" s="19"/>
      <c r="B46" s="13"/>
      <c r="C46" s="13"/>
      <c r="D46" s="14"/>
    </row>
    <row r="47" ht="20" customHeight="1" spans="1:4" x14ac:dyDescent="0.25">
      <c r="A47" s="19"/>
      <c r="B47" s="13"/>
      <c r="C47" s="13"/>
      <c r="D47" s="14"/>
    </row>
    <row r="48" ht="20" customHeight="1" spans="1:4" x14ac:dyDescent="0.25">
      <c r="A48" s="19"/>
      <c r="B48" s="13"/>
      <c r="C48" s="13"/>
      <c r="D48" s="14"/>
    </row>
    <row r="49" ht="20" customHeight="1" spans="1:4" x14ac:dyDescent="0.25">
      <c r="A49" s="19"/>
      <c r="B49" s="13"/>
      <c r="C49" s="13"/>
      <c r="D49" s="14"/>
    </row>
    <row r="50" ht="20" customHeight="1" spans="1:4" x14ac:dyDescent="0.25">
      <c r="A50" s="19"/>
      <c r="B50" s="13"/>
      <c r="C50" s="13"/>
      <c r="D50" s="14"/>
    </row>
    <row r="51" ht="20" customHeight="1" spans="1:4" x14ac:dyDescent="0.25">
      <c r="A51" s="19"/>
      <c r="B51" s="13"/>
      <c r="C51" s="13"/>
      <c r="D51" s="14"/>
    </row>
    <row r="52" ht="20" customHeight="1" spans="1:4" x14ac:dyDescent="0.25">
      <c r="A52" s="19"/>
      <c r="B52" s="13"/>
      <c r="C52" s="13"/>
      <c r="D52" s="14"/>
    </row>
    <row r="53" ht="20" customHeight="1" spans="1:4" x14ac:dyDescent="0.25">
      <c r="A53" s="19"/>
      <c r="B53" s="13"/>
      <c r="C53" s="13"/>
      <c r="D53" s="14"/>
    </row>
    <row r="54" ht="20" customHeight="1" spans="1:4" x14ac:dyDescent="0.25">
      <c r="A54" s="19"/>
      <c r="B54" s="13"/>
      <c r="C54" s="13"/>
      <c r="D54" s="14"/>
    </row>
    <row r="55" ht="20" customHeight="1" spans="1:4" x14ac:dyDescent="0.25">
      <c r="A55" s="19"/>
      <c r="B55" s="13"/>
      <c r="C55" s="13"/>
      <c r="D55" s="14"/>
    </row>
    <row r="56" ht="20" customHeight="1" spans="1:4" x14ac:dyDescent="0.25">
      <c r="A56" s="19"/>
      <c r="B56" s="13"/>
      <c r="C56" s="13"/>
      <c r="D56" s="14"/>
    </row>
    <row r="57" ht="20" customHeight="1" spans="1:4" x14ac:dyDescent="0.25">
      <c r="A57" s="19"/>
      <c r="B57" s="13"/>
      <c r="C57" s="13"/>
      <c r="D57" s="14"/>
    </row>
    <row r="58" ht="20" customHeight="1" spans="1:4" x14ac:dyDescent="0.25">
      <c r="A58" s="19"/>
      <c r="B58" s="13"/>
      <c r="C58" s="13"/>
      <c r="D58" s="14"/>
    </row>
    <row r="59" ht="20" customHeight="1" spans="1:4" x14ac:dyDescent="0.25">
      <c r="A59" s="19"/>
      <c r="B59" s="13"/>
      <c r="C59" s="13"/>
      <c r="D59" s="14"/>
    </row>
    <row r="60" ht="20" customHeight="1" spans="1:4" x14ac:dyDescent="0.25">
      <c r="A60" s="19"/>
      <c r="B60" s="13"/>
      <c r="C60" s="13"/>
      <c r="D60" s="14"/>
    </row>
    <row r="61" ht="20" customHeight="1" spans="1:4" x14ac:dyDescent="0.25">
      <c r="A61" s="19"/>
      <c r="B61" s="13"/>
      <c r="C61" s="13"/>
      <c r="D61" s="14"/>
    </row>
    <row r="62" ht="20" customHeight="1" spans="1:4" x14ac:dyDescent="0.25">
      <c r="A62" s="19"/>
      <c r="B62" s="13"/>
      <c r="C62" s="13"/>
      <c r="D62" s="14"/>
    </row>
    <row r="63" ht="20" customHeight="1" spans="1:4" x14ac:dyDescent="0.25">
      <c r="A63" s="19"/>
      <c r="B63" s="13"/>
      <c r="C63" s="13"/>
      <c r="D63" s="14"/>
    </row>
    <row r="64" ht="20" customHeight="1" spans="1:4" x14ac:dyDescent="0.25">
      <c r="A64" s="19"/>
      <c r="B64" s="13"/>
      <c r="C64" s="13"/>
      <c r="D64" s="14"/>
    </row>
    <row r="65" ht="20" customHeight="1" spans="1:4" x14ac:dyDescent="0.25">
      <c r="A65" s="19"/>
      <c r="B65" s="13"/>
      <c r="C65" s="13"/>
      <c r="D65" s="14"/>
    </row>
    <row r="66" ht="20" customHeight="1" spans="1:4" x14ac:dyDescent="0.25">
      <c r="A66" s="19"/>
      <c r="B66" s="13"/>
      <c r="C66" s="13"/>
      <c r="D66" s="14"/>
    </row>
    <row r="67" ht="20" customHeight="1" spans="1:4" x14ac:dyDescent="0.25">
      <c r="A67" s="19"/>
      <c r="B67" s="13"/>
      <c r="C67" s="13"/>
      <c r="D67" s="14"/>
    </row>
    <row r="68" ht="20" customHeight="1" spans="1:4" x14ac:dyDescent="0.25">
      <c r="A68" s="19"/>
      <c r="B68" s="13"/>
      <c r="C68" s="13"/>
      <c r="D68" s="14"/>
    </row>
    <row r="69" ht="20" customHeight="1" spans="1:4" x14ac:dyDescent="0.25">
      <c r="A69" s="19"/>
      <c r="B69" s="13"/>
      <c r="C69" s="13"/>
      <c r="D69" s="14"/>
    </row>
    <row r="70" ht="20" customHeight="1" spans="1:4" x14ac:dyDescent="0.25">
      <c r="A70" s="19"/>
      <c r="B70" s="13"/>
      <c r="C70" s="13"/>
      <c r="D70" s="14"/>
    </row>
    <row r="71" ht="20" customHeight="1" spans="1:4" x14ac:dyDescent="0.25">
      <c r="A71" s="19"/>
      <c r="B71" s="13"/>
      <c r="C71" s="13"/>
      <c r="D71" s="14"/>
    </row>
    <row r="72" ht="20" customHeight="1" spans="1:4" x14ac:dyDescent="0.25">
      <c r="A72" s="19"/>
      <c r="B72" s="13"/>
      <c r="C72" s="13"/>
      <c r="D72" s="14"/>
    </row>
    <row r="73" ht="20" customHeight="1" spans="1:4" x14ac:dyDescent="0.25">
      <c r="A73" s="19"/>
      <c r="B73" s="13"/>
      <c r="C73" s="13"/>
      <c r="D73" s="14"/>
    </row>
    <row r="74" ht="20" customHeight="1" spans="1:4" x14ac:dyDescent="0.25">
      <c r="A74" s="19"/>
      <c r="B74" s="13"/>
      <c r="C74" s="13"/>
      <c r="D74" s="14"/>
    </row>
    <row r="75" ht="20" customHeight="1" spans="1:4" x14ac:dyDescent="0.25">
      <c r="A75" s="19"/>
      <c r="B75" s="13"/>
      <c r="C75" s="13"/>
      <c r="D75" s="14"/>
    </row>
    <row r="76" ht="20" customHeight="1" spans="1:4" x14ac:dyDescent="0.25">
      <c r="A76" s="19"/>
      <c r="B76" s="13"/>
      <c r="C76" s="13"/>
      <c r="D76" s="14"/>
    </row>
    <row r="77" ht="20" customHeight="1" spans="1:4" x14ac:dyDescent="0.25">
      <c r="A77" s="19"/>
      <c r="B77" s="13"/>
      <c r="C77" s="13"/>
      <c r="D77" s="14"/>
    </row>
    <row r="78" ht="20" customHeight="1" spans="1:4" x14ac:dyDescent="0.25">
      <c r="A78" s="19"/>
      <c r="B78" s="13"/>
      <c r="C78" s="13"/>
      <c r="D78" s="14"/>
    </row>
    <row r="79" ht="20" customHeight="1" spans="1:4" x14ac:dyDescent="0.25">
      <c r="A79" s="19"/>
      <c r="B79" s="13"/>
      <c r="C79" s="13"/>
      <c r="D79" s="14"/>
    </row>
    <row r="80" ht="20" customHeight="1" spans="1:4" x14ac:dyDescent="0.25">
      <c r="A80" s="19"/>
      <c r="B80" s="13"/>
      <c r="C80" s="13"/>
      <c r="D80" s="14"/>
    </row>
    <row r="81" ht="20" customHeight="1" spans="1:4" x14ac:dyDescent="0.25">
      <c r="A81" s="19"/>
      <c r="B81" s="13"/>
      <c r="C81" s="13"/>
      <c r="D81" s="14"/>
    </row>
    <row r="82" ht="20" customHeight="1" spans="1:4" x14ac:dyDescent="0.25">
      <c r="A82" s="19"/>
      <c r="B82" s="13"/>
      <c r="C82" s="13"/>
      <c r="D82" s="14"/>
    </row>
    <row r="83" ht="20" customHeight="1" spans="1:4" x14ac:dyDescent="0.25">
      <c r="A83" s="19"/>
      <c r="B83" s="13"/>
      <c r="C83" s="13"/>
      <c r="D83" s="14"/>
    </row>
    <row r="84" ht="20" customHeight="1" spans="1:4" x14ac:dyDescent="0.25">
      <c r="A84" s="19"/>
      <c r="B84" s="13"/>
      <c r="C84" s="13"/>
      <c r="D84" s="14"/>
    </row>
    <row r="85" ht="20" customHeight="1" spans="1:4" x14ac:dyDescent="0.25">
      <c r="A85" s="19"/>
      <c r="B85" s="13"/>
      <c r="C85" s="13"/>
      <c r="D85" s="14"/>
    </row>
    <row r="86" ht="20" customHeight="1" spans="1:4" x14ac:dyDescent="0.25">
      <c r="A86" s="19"/>
      <c r="B86" s="13"/>
      <c r="C86" s="13"/>
      <c r="D86" s="14"/>
    </row>
    <row r="87" ht="20" customHeight="1" spans="1:4" x14ac:dyDescent="0.25">
      <c r="A87" s="19"/>
      <c r="B87" s="13"/>
      <c r="C87" s="13"/>
      <c r="D87" s="14"/>
    </row>
    <row r="88" ht="20" customHeight="1" spans="1:4" x14ac:dyDescent="0.25">
      <c r="A88" s="19"/>
      <c r="B88" s="13"/>
      <c r="C88" s="13"/>
      <c r="D88" s="14"/>
    </row>
    <row r="89" ht="20" customHeight="1" spans="1:4" x14ac:dyDescent="0.25">
      <c r="A89" s="19"/>
      <c r="B89" s="13"/>
      <c r="C89" s="13"/>
      <c r="D89" s="14"/>
    </row>
    <row r="90" ht="20" customHeight="1" spans="1:4" x14ac:dyDescent="0.25">
      <c r="A90" s="19"/>
      <c r="B90" s="13"/>
      <c r="C90" s="13"/>
      <c r="D90" s="14"/>
    </row>
    <row r="91" ht="20" customHeight="1" spans="1:4" x14ac:dyDescent="0.25">
      <c r="A91" s="19"/>
      <c r="B91" s="13"/>
      <c r="C91" s="13"/>
      <c r="D91" s="14"/>
    </row>
    <row r="92" ht="20" customHeight="1" spans="1:4" x14ac:dyDescent="0.25">
      <c r="A92" s="19"/>
      <c r="B92" s="13"/>
      <c r="C92" s="13"/>
      <c r="D92" s="14"/>
    </row>
    <row r="93" ht="20" customHeight="1" spans="1:4" x14ac:dyDescent="0.25">
      <c r="A93" s="19"/>
      <c r="B93" s="13"/>
      <c r="C93" s="13"/>
      <c r="D93" s="14"/>
    </row>
    <row r="94" ht="20" customHeight="1" spans="1:4" x14ac:dyDescent="0.25">
      <c r="A94" s="19"/>
      <c r="B94" s="13"/>
      <c r="C94" s="13"/>
      <c r="D94" s="14"/>
    </row>
    <row r="95" ht="20" customHeight="1" spans="1:4" x14ac:dyDescent="0.25">
      <c r="A95" s="19"/>
      <c r="B95" s="13"/>
      <c r="C95" s="13"/>
      <c r="D95" s="14"/>
    </row>
    <row r="96" ht="20" customHeight="1" spans="1:4" x14ac:dyDescent="0.25">
      <c r="A96" s="19"/>
      <c r="B96" s="13"/>
      <c r="C96" s="13"/>
      <c r="D96" s="14"/>
    </row>
    <row r="97" ht="20" customHeight="1" spans="1:4" x14ac:dyDescent="0.25">
      <c r="A97" s="19"/>
      <c r="B97" s="13"/>
      <c r="C97" s="13"/>
      <c r="D97" s="14"/>
    </row>
    <row r="98" ht="20" customHeight="1" spans="1:4" x14ac:dyDescent="0.25">
      <c r="A98" s="19"/>
      <c r="B98" s="13"/>
      <c r="C98" s="13"/>
      <c r="D98" s="14"/>
    </row>
    <row r="99" ht="20" customHeight="1" spans="1:4" x14ac:dyDescent="0.25">
      <c r="A99" s="19"/>
      <c r="B99" s="13"/>
      <c r="C99" s="13"/>
      <c r="D99" s="14"/>
    </row>
    <row r="100" ht="20" customHeight="1" spans="1:4" x14ac:dyDescent="0.25">
      <c r="A100" s="19"/>
      <c r="B100" s="13"/>
      <c r="C100" s="13"/>
      <c r="D100" s="14"/>
    </row>
    <row r="101" ht="20" customHeight="1" spans="1:4" x14ac:dyDescent="0.25">
      <c r="A101" s="19"/>
      <c r="B101" s="13"/>
      <c r="C101" s="13"/>
      <c r="D101" s="14"/>
    </row>
    <row r="102" ht="20" customHeight="1" spans="1:4" x14ac:dyDescent="0.25">
      <c r="A102" s="19"/>
      <c r="B102" s="13"/>
      <c r="C102" s="13"/>
      <c r="D102" s="14"/>
    </row>
    <row r="103" ht="20" customHeight="1" spans="1:4" x14ac:dyDescent="0.25">
      <c r="A103" s="19"/>
      <c r="B103" s="13"/>
      <c r="C103" s="13"/>
      <c r="D103" s="14"/>
    </row>
    <row r="104" ht="20" customHeight="1" spans="1:4" x14ac:dyDescent="0.25">
      <c r="A104" s="19"/>
      <c r="B104" s="13"/>
      <c r="C104" s="13"/>
      <c r="D104" s="14"/>
    </row>
  </sheetData>
  <mergeCells count="3">
    <mergeCell ref="A1:D1"/>
    <mergeCell ref="A2:D2"/>
    <mergeCell ref="A3:D3"/>
  </mergeCells>
  <dataValidations count="6">
    <dataValidation type="date" showInputMessage="1" promptTitle="Input guidance" prompt="Dieses Feld ist erforderlich." showErrorMessage="1" errorStyle="stop" errorTitle="Invalid value" error="Dieses Feld ist erforderlich." sqref="A10:A104">
      <formula1>46023.5</formula1>
      <formula2>46387.5</formula2>
    </dataValidation>
    <dataValidation type="date" showInputMessage="1" promptTitle="Input guidance" prompt="Dieses Feld ist erforderlich." showErrorMessage="1" errorStyle="stop" errorTitle="Invalid value" error="Dieses Feld ist erforderlich." sqref="A5:A104">
      <formula1>46023.5</formula1>
      <formula2>46387.5</formula2>
    </dataValidation>
    <dataValidation type="list" showInputMessage="1" promptTitle="Input guidance" prompt="Dieses Feld ist erforderlich." showErrorMessage="1" errorStyle="stop" errorTitle="Invalid value" error="Dieses Feld ist erforderlich." sqref="C10:C104">
      <formula1>'Kategorien'!$A$5:$A$44</formula1>
    </dataValidation>
    <dataValidation type="list" showInputMessage="1" promptTitle="Input guidance" prompt="Dieses Feld ist erforderlich." showErrorMessage="1" errorStyle="stop" errorTitle="Invalid value" error="Dieses Feld ist erforderlich." sqref="C5:C104">
      <formula1>'Kategorien'!$A$5:$A$44</formula1>
    </dataValidation>
    <dataValidation type="decimal" operator="greaterThanOrEqual" showInputMessage="1" promptTitle="Input guidance" prompt="Dieses Feld ist erforderlich." showErrorMessage="1" errorStyle="stop" errorTitle="Invalid value" error="Dieses Feld ist erforderlich." sqref="D10:D104">
      <formula1>0</formula1>
    </dataValidation>
    <dataValidation type="decimal" operator="greaterThanOrEqual" showInputMessage="1" promptTitle="Input guidance" prompt="Dieses Feld ist erforderlich." showErrorMessage="1" errorStyle="stop" errorTitle="Invalid value" error="Dieses Feld ist erforderlich." sqref="D5:D104">
      <formula1>0</formula1>
    </dataValidation>
  </dataValidation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645B"/>
    <pageSetUpPr fitToPage="1"/>
  </sheetPr>
  <dimension ref="A1:D10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14" style="17" customWidth="1"/>
    <col min="2" max="2" width="28" style="1" customWidth="1"/>
    <col min="3" max="3" width="22" style="1" customWidth="1"/>
    <col min="4" max="4" width="16" style="2" customWidth="1"/>
  </cols>
  <sheetData>
    <row r="1" ht="34" customHeight="1" spans="1:4" x14ac:dyDescent="0.25">
      <c r="A1" s="3" t="s">
        <v>0</v>
      </c>
      <c r="B1" s="3"/>
      <c r="C1" s="3"/>
      <c r="D1" s="3"/>
    </row>
    <row r="2" ht="30" customHeight="1" spans="1:4" x14ac:dyDescent="0.25">
      <c r="A2" s="4" t="s">
        <v>1</v>
      </c>
      <c r="B2" s="4"/>
      <c r="C2" s="4"/>
      <c r="D2" s="4"/>
    </row>
    <row r="3" ht="22" customHeight="1" spans="1:4" x14ac:dyDescent="0.25">
      <c r="A3" s="5" t="s">
        <v>2</v>
      </c>
      <c r="B3" s="5"/>
      <c r="C3" s="5"/>
      <c r="D3" s="5"/>
    </row>
    <row r="4" ht="26" customHeight="1" spans="1:4" x14ac:dyDescent="0.25">
      <c r="A4" s="18" t="s">
        <v>20</v>
      </c>
      <c r="B4" s="6" t="s">
        <v>3</v>
      </c>
      <c r="C4" s="6" t="s">
        <v>9</v>
      </c>
      <c r="D4" s="7" t="s">
        <v>21</v>
      </c>
    </row>
    <row r="5" ht="20" customHeight="1" spans="1:4" x14ac:dyDescent="0.25">
      <c r="A5" s="19">
        <v>46024.5</v>
      </c>
      <c r="B5" s="13" t="s">
        <v>26</v>
      </c>
      <c r="C5" s="13" t="s">
        <v>15</v>
      </c>
      <c r="D5" s="14">
        <v>1200</v>
      </c>
    </row>
    <row r="6" ht="20" customHeight="1" spans="1:4" x14ac:dyDescent="0.25">
      <c r="A6" s="19">
        <v>46030.5</v>
      </c>
      <c r="B6" s="13" t="s">
        <v>27</v>
      </c>
      <c r="C6" s="13" t="s">
        <v>16</v>
      </c>
      <c r="D6" s="14">
        <v>218.4</v>
      </c>
    </row>
    <row r="7" ht="20" customHeight="1" spans="1:4" x14ac:dyDescent="0.25">
      <c r="A7" s="19">
        <v>46036.5</v>
      </c>
      <c r="B7" s="13" t="s">
        <v>28</v>
      </c>
      <c r="C7" s="13" t="s">
        <v>17</v>
      </c>
      <c r="D7" s="14">
        <v>478.35</v>
      </c>
    </row>
    <row r="8" ht="20" customHeight="1" spans="1:4" x14ac:dyDescent="0.25">
      <c r="A8" s="19">
        <v>46040.5</v>
      </c>
      <c r="B8" s="13" t="s">
        <v>29</v>
      </c>
      <c r="C8" s="13" t="s">
        <v>18</v>
      </c>
      <c r="D8" s="14">
        <v>224.5</v>
      </c>
    </row>
    <row r="9" ht="20" customHeight="1" spans="1:4" x14ac:dyDescent="0.25">
      <c r="A9" s="19">
        <v>46050.5</v>
      </c>
      <c r="B9" s="13" t="s">
        <v>30</v>
      </c>
      <c r="C9" s="13" t="s">
        <v>19</v>
      </c>
      <c r="D9" s="14">
        <v>300</v>
      </c>
    </row>
    <row r="10" ht="20" customHeight="1" spans="1:4" x14ac:dyDescent="0.25">
      <c r="A10" s="19"/>
      <c r="B10" s="13"/>
      <c r="C10" s="13"/>
      <c r="D10" s="14"/>
    </row>
    <row r="11" ht="20" customHeight="1" spans="1:4" x14ac:dyDescent="0.25">
      <c r="A11" s="19"/>
      <c r="B11" s="13"/>
      <c r="C11" s="13"/>
      <c r="D11" s="14"/>
    </row>
    <row r="12" ht="20" customHeight="1" spans="1:4" x14ac:dyDescent="0.25">
      <c r="A12" s="19"/>
      <c r="B12" s="13"/>
      <c r="C12" s="13"/>
      <c r="D12" s="14"/>
    </row>
    <row r="13" ht="20" customHeight="1" spans="1:4" x14ac:dyDescent="0.25">
      <c r="A13" s="19"/>
      <c r="B13" s="13"/>
      <c r="C13" s="13"/>
      <c r="D13" s="14"/>
    </row>
    <row r="14" ht="20" customHeight="1" spans="1:4" x14ac:dyDescent="0.25">
      <c r="A14" s="19"/>
      <c r="B14" s="13"/>
      <c r="C14" s="13"/>
      <c r="D14" s="14"/>
    </row>
    <row r="15" ht="20" customHeight="1" spans="1:4" x14ac:dyDescent="0.25">
      <c r="A15" s="19"/>
      <c r="B15" s="13"/>
      <c r="C15" s="13"/>
      <c r="D15" s="14"/>
    </row>
    <row r="16" ht="20" customHeight="1" spans="1:4" x14ac:dyDescent="0.25">
      <c r="A16" s="19"/>
      <c r="B16" s="13"/>
      <c r="C16" s="13"/>
      <c r="D16" s="14"/>
    </row>
    <row r="17" ht="20" customHeight="1" spans="1:4" x14ac:dyDescent="0.25">
      <c r="A17" s="19"/>
      <c r="B17" s="13"/>
      <c r="C17" s="13"/>
      <c r="D17" s="14"/>
    </row>
    <row r="18" ht="20" customHeight="1" spans="1:4" x14ac:dyDescent="0.25">
      <c r="A18" s="19"/>
      <c r="B18" s="13"/>
      <c r="C18" s="13"/>
      <c r="D18" s="14"/>
    </row>
    <row r="19" ht="20" customHeight="1" spans="1:4" x14ac:dyDescent="0.25">
      <c r="A19" s="19"/>
      <c r="B19" s="13"/>
      <c r="C19" s="13"/>
      <c r="D19" s="14"/>
    </row>
    <row r="20" ht="20" customHeight="1" spans="1:4" x14ac:dyDescent="0.25">
      <c r="A20" s="19"/>
      <c r="B20" s="13"/>
      <c r="C20" s="13"/>
      <c r="D20" s="14"/>
    </row>
    <row r="21" ht="20" customHeight="1" spans="1:4" x14ac:dyDescent="0.25">
      <c r="A21" s="19"/>
      <c r="B21" s="13"/>
      <c r="C21" s="13"/>
      <c r="D21" s="14"/>
    </row>
    <row r="22" ht="20" customHeight="1" spans="1:4" x14ac:dyDescent="0.25">
      <c r="A22" s="19"/>
      <c r="B22" s="13"/>
      <c r="C22" s="13"/>
      <c r="D22" s="14"/>
    </row>
    <row r="23" ht="20" customHeight="1" spans="1:4" x14ac:dyDescent="0.25">
      <c r="A23" s="19"/>
      <c r="B23" s="13"/>
      <c r="C23" s="13"/>
      <c r="D23" s="14"/>
    </row>
    <row r="24" ht="20" customHeight="1" spans="1:4" x14ac:dyDescent="0.25">
      <c r="A24" s="19"/>
      <c r="B24" s="13"/>
      <c r="C24" s="13"/>
      <c r="D24" s="14"/>
    </row>
    <row r="25" ht="20" customHeight="1" spans="1:4" x14ac:dyDescent="0.25">
      <c r="A25" s="19"/>
      <c r="B25" s="13"/>
      <c r="C25" s="13"/>
      <c r="D25" s="14"/>
    </row>
    <row r="26" ht="20" customHeight="1" spans="1:4" x14ac:dyDescent="0.25">
      <c r="A26" s="19"/>
      <c r="B26" s="13"/>
      <c r="C26" s="13"/>
      <c r="D26" s="14"/>
    </row>
    <row r="27" ht="20" customHeight="1" spans="1:4" x14ac:dyDescent="0.25">
      <c r="A27" s="19"/>
      <c r="B27" s="13"/>
      <c r="C27" s="13"/>
      <c r="D27" s="14"/>
    </row>
    <row r="28" ht="20" customHeight="1" spans="1:4" x14ac:dyDescent="0.25">
      <c r="A28" s="19"/>
      <c r="B28" s="13"/>
      <c r="C28" s="13"/>
      <c r="D28" s="14"/>
    </row>
    <row r="29" ht="20" customHeight="1" spans="1:4" x14ac:dyDescent="0.25">
      <c r="A29" s="19"/>
      <c r="B29" s="13"/>
      <c r="C29" s="13"/>
      <c r="D29" s="14"/>
    </row>
    <row r="30" ht="20" customHeight="1" spans="1:4" x14ac:dyDescent="0.25">
      <c r="A30" s="19"/>
      <c r="B30" s="13"/>
      <c r="C30" s="13"/>
      <c r="D30" s="14"/>
    </row>
    <row r="31" ht="20" customHeight="1" spans="1:4" x14ac:dyDescent="0.25">
      <c r="A31" s="19"/>
      <c r="B31" s="13"/>
      <c r="C31" s="13"/>
      <c r="D31" s="14"/>
    </row>
    <row r="32" ht="20" customHeight="1" spans="1:4" x14ac:dyDescent="0.25">
      <c r="A32" s="19"/>
      <c r="B32" s="13"/>
      <c r="C32" s="13"/>
      <c r="D32" s="14"/>
    </row>
    <row r="33" ht="20" customHeight="1" spans="1:4" x14ac:dyDescent="0.25">
      <c r="A33" s="19"/>
      <c r="B33" s="13"/>
      <c r="C33" s="13"/>
      <c r="D33" s="14"/>
    </row>
    <row r="34" ht="20" customHeight="1" spans="1:4" x14ac:dyDescent="0.25">
      <c r="A34" s="19"/>
      <c r="B34" s="13"/>
      <c r="C34" s="13"/>
      <c r="D34" s="14"/>
    </row>
    <row r="35" ht="20" customHeight="1" spans="1:4" x14ac:dyDescent="0.25">
      <c r="A35" s="19"/>
      <c r="B35" s="13"/>
      <c r="C35" s="13"/>
      <c r="D35" s="14"/>
    </row>
    <row r="36" ht="20" customHeight="1" spans="1:4" x14ac:dyDescent="0.25">
      <c r="A36" s="19"/>
      <c r="B36" s="13"/>
      <c r="C36" s="13"/>
      <c r="D36" s="14"/>
    </row>
    <row r="37" ht="20" customHeight="1" spans="1:4" x14ac:dyDescent="0.25">
      <c r="A37" s="19"/>
      <c r="B37" s="13"/>
      <c r="C37" s="13"/>
      <c r="D37" s="14"/>
    </row>
    <row r="38" ht="20" customHeight="1" spans="1:4" x14ac:dyDescent="0.25">
      <c r="A38" s="19"/>
      <c r="B38" s="13"/>
      <c r="C38" s="13"/>
      <c r="D38" s="14"/>
    </row>
    <row r="39" ht="20" customHeight="1" spans="1:4" x14ac:dyDescent="0.25">
      <c r="A39" s="19"/>
      <c r="B39" s="13"/>
      <c r="C39" s="13"/>
      <c r="D39" s="14"/>
    </row>
    <row r="40" ht="20" customHeight="1" spans="1:4" x14ac:dyDescent="0.25">
      <c r="A40" s="19"/>
      <c r="B40" s="13"/>
      <c r="C40" s="13"/>
      <c r="D40" s="14"/>
    </row>
    <row r="41" ht="20" customHeight="1" spans="1:4" x14ac:dyDescent="0.25">
      <c r="A41" s="19"/>
      <c r="B41" s="13"/>
      <c r="C41" s="13"/>
      <c r="D41" s="14"/>
    </row>
    <row r="42" ht="20" customHeight="1" spans="1:4" x14ac:dyDescent="0.25">
      <c r="A42" s="19"/>
      <c r="B42" s="13"/>
      <c r="C42" s="13"/>
      <c r="D42" s="14"/>
    </row>
    <row r="43" ht="20" customHeight="1" spans="1:4" x14ac:dyDescent="0.25">
      <c r="A43" s="19"/>
      <c r="B43" s="13"/>
      <c r="C43" s="13"/>
      <c r="D43" s="14"/>
    </row>
    <row r="44" ht="20" customHeight="1" spans="1:4" x14ac:dyDescent="0.25">
      <c r="A44" s="19"/>
      <c r="B44" s="13"/>
      <c r="C44" s="13"/>
      <c r="D44" s="14"/>
    </row>
    <row r="45" ht="20" customHeight="1" spans="1:4" x14ac:dyDescent="0.25">
      <c r="A45" s="19"/>
      <c r="B45" s="13"/>
      <c r="C45" s="13"/>
      <c r="D45" s="14"/>
    </row>
    <row r="46" ht="20" customHeight="1" spans="1:4" x14ac:dyDescent="0.25">
      <c r="A46" s="19"/>
      <c r="B46" s="13"/>
      <c r="C46" s="13"/>
      <c r="D46" s="14"/>
    </row>
    <row r="47" ht="20" customHeight="1" spans="1:4" x14ac:dyDescent="0.25">
      <c r="A47" s="19"/>
      <c r="B47" s="13"/>
      <c r="C47" s="13"/>
      <c r="D47" s="14"/>
    </row>
    <row r="48" ht="20" customHeight="1" spans="1:4" x14ac:dyDescent="0.25">
      <c r="A48" s="19"/>
      <c r="B48" s="13"/>
      <c r="C48" s="13"/>
      <c r="D48" s="14"/>
    </row>
    <row r="49" ht="20" customHeight="1" spans="1:4" x14ac:dyDescent="0.25">
      <c r="A49" s="19"/>
      <c r="B49" s="13"/>
      <c r="C49" s="13"/>
      <c r="D49" s="14"/>
    </row>
    <row r="50" ht="20" customHeight="1" spans="1:4" x14ac:dyDescent="0.25">
      <c r="A50" s="19"/>
      <c r="B50" s="13"/>
      <c r="C50" s="13"/>
      <c r="D50" s="14"/>
    </row>
    <row r="51" ht="20" customHeight="1" spans="1:4" x14ac:dyDescent="0.25">
      <c r="A51" s="19"/>
      <c r="B51" s="13"/>
      <c r="C51" s="13"/>
      <c r="D51" s="14"/>
    </row>
    <row r="52" ht="20" customHeight="1" spans="1:4" x14ac:dyDescent="0.25">
      <c r="A52" s="19"/>
      <c r="B52" s="13"/>
      <c r="C52" s="13"/>
      <c r="D52" s="14"/>
    </row>
    <row r="53" ht="20" customHeight="1" spans="1:4" x14ac:dyDescent="0.25">
      <c r="A53" s="19"/>
      <c r="B53" s="13"/>
      <c r="C53" s="13"/>
      <c r="D53" s="14"/>
    </row>
    <row r="54" ht="20" customHeight="1" spans="1:4" x14ac:dyDescent="0.25">
      <c r="A54" s="19"/>
      <c r="B54" s="13"/>
      <c r="C54" s="13"/>
      <c r="D54" s="14"/>
    </row>
    <row r="55" ht="20" customHeight="1" spans="1:4" x14ac:dyDescent="0.25">
      <c r="A55" s="19"/>
      <c r="B55" s="13"/>
      <c r="C55" s="13"/>
      <c r="D55" s="14"/>
    </row>
    <row r="56" ht="20" customHeight="1" spans="1:4" x14ac:dyDescent="0.25">
      <c r="A56" s="19"/>
      <c r="B56" s="13"/>
      <c r="C56" s="13"/>
      <c r="D56" s="14"/>
    </row>
    <row r="57" ht="20" customHeight="1" spans="1:4" x14ac:dyDescent="0.25">
      <c r="A57" s="19"/>
      <c r="B57" s="13"/>
      <c r="C57" s="13"/>
      <c r="D57" s="14"/>
    </row>
    <row r="58" ht="20" customHeight="1" spans="1:4" x14ac:dyDescent="0.25">
      <c r="A58" s="19"/>
      <c r="B58" s="13"/>
      <c r="C58" s="13"/>
      <c r="D58" s="14"/>
    </row>
    <row r="59" ht="20" customHeight="1" spans="1:4" x14ac:dyDescent="0.25">
      <c r="A59" s="19"/>
      <c r="B59" s="13"/>
      <c r="C59" s="13"/>
      <c r="D59" s="14"/>
    </row>
    <row r="60" ht="20" customHeight="1" spans="1:4" x14ac:dyDescent="0.25">
      <c r="A60" s="19"/>
      <c r="B60" s="13"/>
      <c r="C60" s="13"/>
      <c r="D60" s="14"/>
    </row>
    <row r="61" ht="20" customHeight="1" spans="1:4" x14ac:dyDescent="0.25">
      <c r="A61" s="19"/>
      <c r="B61" s="13"/>
      <c r="C61" s="13"/>
      <c r="D61" s="14"/>
    </row>
    <row r="62" ht="20" customHeight="1" spans="1:4" x14ac:dyDescent="0.25">
      <c r="A62" s="19"/>
      <c r="B62" s="13"/>
      <c r="C62" s="13"/>
      <c r="D62" s="14"/>
    </row>
    <row r="63" ht="20" customHeight="1" spans="1:4" x14ac:dyDescent="0.25">
      <c r="A63" s="19"/>
      <c r="B63" s="13"/>
      <c r="C63" s="13"/>
      <c r="D63" s="14"/>
    </row>
    <row r="64" ht="20" customHeight="1" spans="1:4" x14ac:dyDescent="0.25">
      <c r="A64" s="19"/>
      <c r="B64" s="13"/>
      <c r="C64" s="13"/>
      <c r="D64" s="14"/>
    </row>
    <row r="65" ht="20" customHeight="1" spans="1:4" x14ac:dyDescent="0.25">
      <c r="A65" s="19"/>
      <c r="B65" s="13"/>
      <c r="C65" s="13"/>
      <c r="D65" s="14"/>
    </row>
    <row r="66" ht="20" customHeight="1" spans="1:4" x14ac:dyDescent="0.25">
      <c r="A66" s="19"/>
      <c r="B66" s="13"/>
      <c r="C66" s="13"/>
      <c r="D66" s="14"/>
    </row>
    <row r="67" ht="20" customHeight="1" spans="1:4" x14ac:dyDescent="0.25">
      <c r="A67" s="19"/>
      <c r="B67" s="13"/>
      <c r="C67" s="13"/>
      <c r="D67" s="14"/>
    </row>
    <row r="68" ht="20" customHeight="1" spans="1:4" x14ac:dyDescent="0.25">
      <c r="A68" s="19"/>
      <c r="B68" s="13"/>
      <c r="C68" s="13"/>
      <c r="D68" s="14"/>
    </row>
    <row r="69" ht="20" customHeight="1" spans="1:4" x14ac:dyDescent="0.25">
      <c r="A69" s="19"/>
      <c r="B69" s="13"/>
      <c r="C69" s="13"/>
      <c r="D69" s="14"/>
    </row>
    <row r="70" ht="20" customHeight="1" spans="1:4" x14ac:dyDescent="0.25">
      <c r="A70" s="19"/>
      <c r="B70" s="13"/>
      <c r="C70" s="13"/>
      <c r="D70" s="14"/>
    </row>
    <row r="71" ht="20" customHeight="1" spans="1:4" x14ac:dyDescent="0.25">
      <c r="A71" s="19"/>
      <c r="B71" s="13"/>
      <c r="C71" s="13"/>
      <c r="D71" s="14"/>
    </row>
    <row r="72" ht="20" customHeight="1" spans="1:4" x14ac:dyDescent="0.25">
      <c r="A72" s="19"/>
      <c r="B72" s="13"/>
      <c r="C72" s="13"/>
      <c r="D72" s="14"/>
    </row>
    <row r="73" ht="20" customHeight="1" spans="1:4" x14ac:dyDescent="0.25">
      <c r="A73" s="19"/>
      <c r="B73" s="13"/>
      <c r="C73" s="13"/>
      <c r="D73" s="14"/>
    </row>
    <row r="74" ht="20" customHeight="1" spans="1:4" x14ac:dyDescent="0.25">
      <c r="A74" s="19"/>
      <c r="B74" s="13"/>
      <c r="C74" s="13"/>
      <c r="D74" s="14"/>
    </row>
    <row r="75" ht="20" customHeight="1" spans="1:4" x14ac:dyDescent="0.25">
      <c r="A75" s="19"/>
      <c r="B75" s="13"/>
      <c r="C75" s="13"/>
      <c r="D75" s="14"/>
    </row>
    <row r="76" ht="20" customHeight="1" spans="1:4" x14ac:dyDescent="0.25">
      <c r="A76" s="19"/>
      <c r="B76" s="13"/>
      <c r="C76" s="13"/>
      <c r="D76" s="14"/>
    </row>
    <row r="77" ht="20" customHeight="1" spans="1:4" x14ac:dyDescent="0.25">
      <c r="A77" s="19"/>
      <c r="B77" s="13"/>
      <c r="C77" s="13"/>
      <c r="D77" s="14"/>
    </row>
    <row r="78" ht="20" customHeight="1" spans="1:4" x14ac:dyDescent="0.25">
      <c r="A78" s="19"/>
      <c r="B78" s="13"/>
      <c r="C78" s="13"/>
      <c r="D78" s="14"/>
    </row>
    <row r="79" ht="20" customHeight="1" spans="1:4" x14ac:dyDescent="0.25">
      <c r="A79" s="19"/>
      <c r="B79" s="13"/>
      <c r="C79" s="13"/>
      <c r="D79" s="14"/>
    </row>
    <row r="80" ht="20" customHeight="1" spans="1:4" x14ac:dyDescent="0.25">
      <c r="A80" s="19"/>
      <c r="B80" s="13"/>
      <c r="C80" s="13"/>
      <c r="D80" s="14"/>
    </row>
    <row r="81" ht="20" customHeight="1" spans="1:4" x14ac:dyDescent="0.25">
      <c r="A81" s="19"/>
      <c r="B81" s="13"/>
      <c r="C81" s="13"/>
      <c r="D81" s="14"/>
    </row>
    <row r="82" ht="20" customHeight="1" spans="1:4" x14ac:dyDescent="0.25">
      <c r="A82" s="19"/>
      <c r="B82" s="13"/>
      <c r="C82" s="13"/>
      <c r="D82" s="14"/>
    </row>
    <row r="83" ht="20" customHeight="1" spans="1:4" x14ac:dyDescent="0.25">
      <c r="A83" s="19"/>
      <c r="B83" s="13"/>
      <c r="C83" s="13"/>
      <c r="D83" s="14"/>
    </row>
    <row r="84" ht="20" customHeight="1" spans="1:4" x14ac:dyDescent="0.25">
      <c r="A84" s="19"/>
      <c r="B84" s="13"/>
      <c r="C84" s="13"/>
      <c r="D84" s="14"/>
    </row>
    <row r="85" ht="20" customHeight="1" spans="1:4" x14ac:dyDescent="0.25">
      <c r="A85" s="19"/>
      <c r="B85" s="13"/>
      <c r="C85" s="13"/>
      <c r="D85" s="14"/>
    </row>
    <row r="86" ht="20" customHeight="1" spans="1:4" x14ac:dyDescent="0.25">
      <c r="A86" s="19"/>
      <c r="B86" s="13"/>
      <c r="C86" s="13"/>
      <c r="D86" s="14"/>
    </row>
    <row r="87" ht="20" customHeight="1" spans="1:4" x14ac:dyDescent="0.25">
      <c r="A87" s="19"/>
      <c r="B87" s="13"/>
      <c r="C87" s="13"/>
      <c r="D87" s="14"/>
    </row>
    <row r="88" ht="20" customHeight="1" spans="1:4" x14ac:dyDescent="0.25">
      <c r="A88" s="19"/>
      <c r="B88" s="13"/>
      <c r="C88" s="13"/>
      <c r="D88" s="14"/>
    </row>
    <row r="89" ht="20" customHeight="1" spans="1:4" x14ac:dyDescent="0.25">
      <c r="A89" s="19"/>
      <c r="B89" s="13"/>
      <c r="C89" s="13"/>
      <c r="D89" s="14"/>
    </row>
    <row r="90" ht="20" customHeight="1" spans="1:4" x14ac:dyDescent="0.25">
      <c r="A90" s="19"/>
      <c r="B90" s="13"/>
      <c r="C90" s="13"/>
      <c r="D90" s="14"/>
    </row>
    <row r="91" ht="20" customHeight="1" spans="1:4" x14ac:dyDescent="0.25">
      <c r="A91" s="19"/>
      <c r="B91" s="13"/>
      <c r="C91" s="13"/>
      <c r="D91" s="14"/>
    </row>
    <row r="92" ht="20" customHeight="1" spans="1:4" x14ac:dyDescent="0.25">
      <c r="A92" s="19"/>
      <c r="B92" s="13"/>
      <c r="C92" s="13"/>
      <c r="D92" s="14"/>
    </row>
    <row r="93" ht="20" customHeight="1" spans="1:4" x14ac:dyDescent="0.25">
      <c r="A93" s="19"/>
      <c r="B93" s="13"/>
      <c r="C93" s="13"/>
      <c r="D93" s="14"/>
    </row>
    <row r="94" ht="20" customHeight="1" spans="1:4" x14ac:dyDescent="0.25">
      <c r="A94" s="19"/>
      <c r="B94" s="13"/>
      <c r="C94" s="13"/>
      <c r="D94" s="14"/>
    </row>
    <row r="95" ht="20" customHeight="1" spans="1:4" x14ac:dyDescent="0.25">
      <c r="A95" s="19"/>
      <c r="B95" s="13"/>
      <c r="C95" s="13"/>
      <c r="D95" s="14"/>
    </row>
    <row r="96" ht="20" customHeight="1" spans="1:4" x14ac:dyDescent="0.25">
      <c r="A96" s="19"/>
      <c r="B96" s="13"/>
      <c r="C96" s="13"/>
      <c r="D96" s="14"/>
    </row>
    <row r="97" ht="20" customHeight="1" spans="1:4" x14ac:dyDescent="0.25">
      <c r="A97" s="19"/>
      <c r="B97" s="13"/>
      <c r="C97" s="13"/>
      <c r="D97" s="14"/>
    </row>
    <row r="98" ht="20" customHeight="1" spans="1:4" x14ac:dyDescent="0.25">
      <c r="A98" s="19"/>
      <c r="B98" s="13"/>
      <c r="C98" s="13"/>
      <c r="D98" s="14"/>
    </row>
    <row r="99" ht="20" customHeight="1" spans="1:4" x14ac:dyDescent="0.25">
      <c r="A99" s="19"/>
      <c r="B99" s="13"/>
      <c r="C99" s="13"/>
      <c r="D99" s="14"/>
    </row>
    <row r="100" ht="20" customHeight="1" spans="1:4" x14ac:dyDescent="0.25">
      <c r="A100" s="19"/>
      <c r="B100" s="13"/>
      <c r="C100" s="13"/>
      <c r="D100" s="14"/>
    </row>
    <row r="101" ht="20" customHeight="1" spans="1:4" x14ac:dyDescent="0.25">
      <c r="A101" s="19"/>
      <c r="B101" s="13"/>
      <c r="C101" s="13"/>
      <c r="D101" s="14"/>
    </row>
    <row r="102" ht="20" customHeight="1" spans="1:4" x14ac:dyDescent="0.25">
      <c r="A102" s="19"/>
      <c r="B102" s="13"/>
      <c r="C102" s="13"/>
      <c r="D102" s="14"/>
    </row>
    <row r="103" ht="20" customHeight="1" spans="1:4" x14ac:dyDescent="0.25">
      <c r="A103" s="19"/>
      <c r="B103" s="13"/>
      <c r="C103" s="13"/>
      <c r="D103" s="14"/>
    </row>
    <row r="104" ht="20" customHeight="1" spans="1:4" x14ac:dyDescent="0.25">
      <c r="A104" s="19"/>
      <c r="B104" s="13"/>
      <c r="C104" s="13"/>
      <c r="D104" s="14"/>
    </row>
  </sheetData>
  <mergeCells count="3">
    <mergeCell ref="A1:D1"/>
    <mergeCell ref="A2:D2"/>
    <mergeCell ref="A3:D3"/>
  </mergeCells>
  <dataValidations count="6">
    <dataValidation type="date" showInputMessage="1" promptTitle="Input guidance" prompt="Dieses Feld ist erforderlich." showErrorMessage="1" errorStyle="stop" errorTitle="Invalid value" error="Dieses Feld ist erforderlich." sqref="A10:A104">
      <formula1>46023.5</formula1>
      <formula2>46387.5</formula2>
    </dataValidation>
    <dataValidation type="date" showInputMessage="1" promptTitle="Input guidance" prompt="Dieses Feld ist erforderlich." showErrorMessage="1" errorStyle="stop" errorTitle="Invalid value" error="Dieses Feld ist erforderlich." sqref="A5:A104">
      <formula1>46023.5</formula1>
      <formula2>46387.5</formula2>
    </dataValidation>
    <dataValidation type="list" showInputMessage="1" promptTitle="Input guidance" prompt="Dieses Feld ist erforderlich." showErrorMessage="1" errorStyle="stop" errorTitle="Invalid value" error="Dieses Feld ist erforderlich." sqref="C10:C104">
      <formula1>'Kategorien'!$A$5:$A$44</formula1>
    </dataValidation>
    <dataValidation type="list" showInputMessage="1" promptTitle="Input guidance" prompt="Dieses Feld ist erforderlich." showErrorMessage="1" errorStyle="stop" errorTitle="Invalid value" error="Dieses Feld ist erforderlich." sqref="C5:C104">
      <formula1>'Kategorien'!$A$5:$A$44</formula1>
    </dataValidation>
    <dataValidation type="decimal" operator="greaterThanOrEqual" showInputMessage="1" promptTitle="Input guidance" prompt="Dieses Feld ist erforderlich." showErrorMessage="1" errorStyle="stop" errorTitle="Invalid value" error="Dieses Feld ist erforderlich." sqref="D10:D104">
      <formula1>0</formula1>
    </dataValidation>
    <dataValidation type="decimal" operator="greaterThanOrEqual" showInputMessage="1" promptTitle="Input guidance" prompt="Dieses Feld ist erforderlich." showErrorMessage="1" errorStyle="stop" errorTitle="Invalid value" error="Dieses Feld ist erforderlich." sqref="D5:D104">
      <formula1>0</formula1>
    </dataValidation>
  </dataValidation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645B"/>
    <pageSetUpPr fitToPage="1"/>
  </sheetPr>
  <dimension ref="A1:C4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0" outlineLevelRow="0" outlineLevelCol="0" x14ac:dyDescent="55" customHeight="1"/>
  <cols>
    <col min="1" max="1" width="24" style="1" customWidth="1"/>
    <col min="2" max="2" width="16" style="1" customWidth="1"/>
    <col min="3" max="3" width="16" style="2" customWidth="1"/>
  </cols>
  <sheetData>
    <row r="1" ht="34" customHeight="1" spans="1:3" x14ac:dyDescent="0.25">
      <c r="A1" s="3" t="s">
        <v>0</v>
      </c>
      <c r="B1" s="3"/>
      <c r="C1" s="3"/>
    </row>
    <row r="2" ht="30" customHeight="1" spans="1:3" x14ac:dyDescent="0.25">
      <c r="A2" s="4" t="s">
        <v>1</v>
      </c>
      <c r="B2" s="4"/>
      <c r="C2" s="4"/>
    </row>
    <row r="3" ht="22" customHeight="1" spans="1:3" x14ac:dyDescent="0.25">
      <c r="A3" s="5" t="s">
        <v>2</v>
      </c>
      <c r="B3" s="5"/>
      <c r="C3" s="5"/>
    </row>
    <row r="4" ht="26" customHeight="1" spans="1:3" x14ac:dyDescent="0.25">
      <c r="A4" s="6" t="s">
        <v>9</v>
      </c>
      <c r="B4" s="6" t="s">
        <v>31</v>
      </c>
      <c r="C4" s="7" t="s">
        <v>10</v>
      </c>
    </row>
    <row r="5" ht="20" customHeight="1" spans="1:3" x14ac:dyDescent="0.25">
      <c r="A5" s="20" t="s">
        <v>23</v>
      </c>
      <c r="B5" s="13" t="s">
        <v>32</v>
      </c>
      <c r="C5" s="14">
        <v>3200</v>
      </c>
    </row>
    <row r="6" ht="20" customHeight="1" spans="1:3" x14ac:dyDescent="0.25">
      <c r="A6" s="20" t="s">
        <v>25</v>
      </c>
      <c r="B6" s="13" t="s">
        <v>32</v>
      </c>
      <c r="C6" s="14">
        <v>600</v>
      </c>
    </row>
    <row r="7" ht="20" customHeight="1" spans="1:3" x14ac:dyDescent="0.25">
      <c r="A7" s="20" t="s">
        <v>15</v>
      </c>
      <c r="B7" s="13" t="s">
        <v>33</v>
      </c>
      <c r="C7" s="14">
        <v>1200</v>
      </c>
    </row>
    <row r="8" ht="20" customHeight="1" spans="1:3" x14ac:dyDescent="0.25">
      <c r="A8" s="20" t="s">
        <v>16</v>
      </c>
      <c r="B8" s="13" t="s">
        <v>33</v>
      </c>
      <c r="C8" s="14">
        <v>240</v>
      </c>
    </row>
    <row r="9" ht="20" customHeight="1" spans="1:3" x14ac:dyDescent="0.25">
      <c r="A9" s="20" t="s">
        <v>17</v>
      </c>
      <c r="B9" s="13" t="s">
        <v>33</v>
      </c>
      <c r="C9" s="14">
        <v>500</v>
      </c>
    </row>
    <row r="10" ht="20" customHeight="1" spans="1:3" x14ac:dyDescent="0.25">
      <c r="A10" s="20" t="s">
        <v>18</v>
      </c>
      <c r="B10" s="13" t="s">
        <v>33</v>
      </c>
      <c r="C10" s="14">
        <v>250</v>
      </c>
    </row>
    <row r="11" ht="20" customHeight="1" spans="1:3" x14ac:dyDescent="0.25">
      <c r="A11" s="20" t="s">
        <v>34</v>
      </c>
      <c r="B11" s="13" t="s">
        <v>33</v>
      </c>
      <c r="C11" s="14">
        <v>190</v>
      </c>
    </row>
    <row r="12" ht="20" customHeight="1" spans="1:3" x14ac:dyDescent="0.25">
      <c r="A12" s="20" t="s">
        <v>35</v>
      </c>
      <c r="B12" s="13" t="s">
        <v>33</v>
      </c>
      <c r="C12" s="14">
        <v>120</v>
      </c>
    </row>
    <row r="13" ht="20" customHeight="1" spans="1:3" x14ac:dyDescent="0.25">
      <c r="A13" s="20" t="s">
        <v>36</v>
      </c>
      <c r="B13" s="13" t="s">
        <v>33</v>
      </c>
      <c r="C13" s="14">
        <v>180</v>
      </c>
    </row>
    <row r="14" ht="20" customHeight="1" spans="1:3" x14ac:dyDescent="0.25">
      <c r="A14" s="20" t="s">
        <v>19</v>
      </c>
      <c r="B14" s="13" t="s">
        <v>37</v>
      </c>
      <c r="C14" s="14">
        <v>300</v>
      </c>
    </row>
    <row r="15" ht="20" customHeight="1" spans="1:3" x14ac:dyDescent="0.25">
      <c r="A15" s="20" t="s">
        <v>38</v>
      </c>
      <c r="B15" s="13" t="s">
        <v>37</v>
      </c>
      <c r="C15" s="14">
        <v>250</v>
      </c>
    </row>
    <row r="16" ht="20" customHeight="1" spans="1:3" x14ac:dyDescent="0.25">
      <c r="A16" s="20" t="s">
        <v>39</v>
      </c>
      <c r="B16" s="13"/>
      <c r="C16" s="14"/>
    </row>
    <row r="17" ht="20" customHeight="1" spans="1:3" x14ac:dyDescent="0.25">
      <c r="A17" s="20"/>
      <c r="B17" s="13"/>
      <c r="C17" s="14"/>
    </row>
    <row r="18" ht="20" customHeight="1" spans="1:3" x14ac:dyDescent="0.25">
      <c r="A18" s="20"/>
      <c r="B18" s="13"/>
      <c r="C18" s="14"/>
    </row>
    <row r="19" ht="20" customHeight="1" spans="1:3" x14ac:dyDescent="0.25">
      <c r="A19" s="20"/>
      <c r="B19" s="13"/>
      <c r="C19" s="14"/>
    </row>
    <row r="20" ht="20" customHeight="1" spans="1:3" x14ac:dyDescent="0.25">
      <c r="A20" s="20"/>
      <c r="B20" s="13"/>
      <c r="C20" s="14"/>
    </row>
    <row r="21" ht="20" customHeight="1" spans="1:3" x14ac:dyDescent="0.25">
      <c r="A21" s="20"/>
      <c r="B21" s="13"/>
      <c r="C21" s="14"/>
    </row>
    <row r="22" ht="20" customHeight="1" spans="1:3" x14ac:dyDescent="0.25">
      <c r="A22" s="20"/>
      <c r="B22" s="13"/>
      <c r="C22" s="14"/>
    </row>
    <row r="23" ht="20" customHeight="1" spans="1:3" x14ac:dyDescent="0.25">
      <c r="A23" s="20"/>
      <c r="B23" s="13"/>
      <c r="C23" s="14"/>
    </row>
    <row r="24" ht="20" customHeight="1" spans="1:3" x14ac:dyDescent="0.25">
      <c r="A24" s="20"/>
      <c r="B24" s="13"/>
      <c r="C24" s="14"/>
    </row>
    <row r="25" ht="20" customHeight="1" spans="1:3" x14ac:dyDescent="0.25">
      <c r="A25" s="20"/>
      <c r="B25" s="13"/>
      <c r="C25" s="14"/>
    </row>
    <row r="26" ht="20" customHeight="1" spans="1:3" x14ac:dyDescent="0.25">
      <c r="A26" s="20"/>
      <c r="B26" s="13"/>
      <c r="C26" s="14"/>
    </row>
    <row r="27" ht="20" customHeight="1" spans="1:3" x14ac:dyDescent="0.25">
      <c r="A27" s="20"/>
      <c r="B27" s="13"/>
      <c r="C27" s="14"/>
    </row>
    <row r="28" ht="20" customHeight="1" spans="1:3" x14ac:dyDescent="0.25">
      <c r="A28" s="20"/>
      <c r="B28" s="13"/>
      <c r="C28" s="14"/>
    </row>
    <row r="29" ht="20" customHeight="1" spans="1:3" x14ac:dyDescent="0.25">
      <c r="A29" s="20"/>
      <c r="B29" s="13"/>
      <c r="C29" s="14"/>
    </row>
    <row r="30" ht="20" customHeight="1" spans="1:3" x14ac:dyDescent="0.25">
      <c r="A30" s="20"/>
      <c r="B30" s="13"/>
      <c r="C30" s="14"/>
    </row>
    <row r="31" ht="20" customHeight="1" spans="1:3" x14ac:dyDescent="0.25">
      <c r="A31" s="20"/>
      <c r="B31" s="13"/>
      <c r="C31" s="14"/>
    </row>
    <row r="32" ht="20" customHeight="1" spans="1:3" x14ac:dyDescent="0.25">
      <c r="A32" s="20"/>
      <c r="B32" s="13"/>
      <c r="C32" s="14"/>
    </row>
    <row r="33" ht="20" customHeight="1" spans="1:3" x14ac:dyDescent="0.25">
      <c r="A33" s="20"/>
      <c r="B33" s="13"/>
      <c r="C33" s="14"/>
    </row>
    <row r="34" ht="20" customHeight="1" spans="1:3" x14ac:dyDescent="0.25">
      <c r="A34" s="20"/>
      <c r="B34" s="13"/>
      <c r="C34" s="14"/>
    </row>
    <row r="35" ht="20" customHeight="1" spans="1:3" x14ac:dyDescent="0.25">
      <c r="A35" s="20"/>
      <c r="B35" s="13"/>
      <c r="C35" s="14"/>
    </row>
    <row r="36" ht="20" customHeight="1" spans="1:3" x14ac:dyDescent="0.25">
      <c r="A36" s="20"/>
      <c r="B36" s="13"/>
      <c r="C36" s="14"/>
    </row>
    <row r="37" ht="20" customHeight="1" spans="1:3" x14ac:dyDescent="0.25">
      <c r="A37" s="20"/>
      <c r="B37" s="13"/>
      <c r="C37" s="14"/>
    </row>
    <row r="38" ht="20" customHeight="1" spans="1:3" x14ac:dyDescent="0.25">
      <c r="A38" s="20"/>
      <c r="B38" s="13"/>
      <c r="C38" s="14"/>
    </row>
    <row r="39" ht="20" customHeight="1" spans="1:3" x14ac:dyDescent="0.25">
      <c r="A39" s="20"/>
      <c r="B39" s="13"/>
      <c r="C39" s="14"/>
    </row>
    <row r="40" ht="20" customHeight="1" spans="1:3" x14ac:dyDescent="0.25">
      <c r="A40" s="20"/>
      <c r="B40" s="13"/>
      <c r="C40" s="14"/>
    </row>
    <row r="41" ht="20" customHeight="1" spans="1:3" x14ac:dyDescent="0.25">
      <c r="A41" s="20"/>
      <c r="B41" s="13"/>
      <c r="C41" s="14"/>
    </row>
    <row r="42" ht="20" customHeight="1" spans="1:3" x14ac:dyDescent="0.25">
      <c r="A42" s="20"/>
      <c r="B42" s="13"/>
      <c r="C42" s="14"/>
    </row>
    <row r="43" ht="20" customHeight="1" spans="1:3" x14ac:dyDescent="0.25">
      <c r="A43" s="20"/>
      <c r="B43" s="13"/>
      <c r="C43" s="14"/>
    </row>
    <row r="44" ht="20" customHeight="1" spans="1:3" x14ac:dyDescent="0.25">
      <c r="A44" s="20"/>
      <c r="B44" s="13"/>
      <c r="C44" s="14"/>
    </row>
  </sheetData>
  <mergeCells count="3">
    <mergeCell ref="A1:C1"/>
    <mergeCell ref="A2:C2"/>
    <mergeCell ref="A3:C3"/>
  </mergeCells>
  <dataValidations count="2">
    <dataValidation type="list" showInputMessage="1" promptTitle="Input guidance" prompt="Dieses Feld ist erforderlich." showErrorMessage="1" errorStyle="stop" errorTitle="Invalid value" error="Dieses Feld ist erforderlich." sqref="B10:B44">
      <formula1>"INCOME,EXPENSE,SAVINGS"</formula1>
    </dataValidation>
    <dataValidation type="list" showInputMessage="1" promptTitle="Input guidance" prompt="Dieses Feld ist erforderlich." showErrorMessage="1" errorStyle="stop" errorTitle="Invalid value" error="Dieses Feld ist erforderlich." sqref="B5:B44">
      <formula1>"INCOME,EXPENSE,SAVINGS"</formula1>
    </dataValidation>
  </dataValidation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645B"/>
    <pageSetUpPr fitToPage="1"/>
  </sheetPr>
  <dimension ref="A1:C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 outlineLevelRow="0" outlineLevelCol="0" x14ac:dyDescent="55" customHeight="1"/>
  <cols>
    <col min="1" max="1" width="10" style="21" customWidth="1"/>
    <col min="2" max="2" width="24" style="1" customWidth="1"/>
    <col min="3" max="3" width="80" style="1" customWidth="1"/>
  </cols>
  <sheetData>
    <row r="1" ht="34" customHeight="1" spans="1:3" x14ac:dyDescent="0.25">
      <c r="A1" s="10" t="s">
        <v>0</v>
      </c>
      <c r="B1" s="10"/>
      <c r="C1" s="10"/>
    </row>
    <row r="2" ht="30" customHeight="1" spans="1:3" x14ac:dyDescent="0.25">
      <c r="A2" s="11" t="s">
        <v>1</v>
      </c>
      <c r="B2" s="11"/>
      <c r="C2" s="11"/>
    </row>
    <row r="3" ht="22" customHeight="1" spans="1:3" x14ac:dyDescent="0.25">
      <c r="A3" s="12" t="s">
        <v>2</v>
      </c>
      <c r="B3" s="12"/>
      <c r="C3" s="12"/>
    </row>
    <row r="4" ht="26" customHeight="1" spans="1:3" x14ac:dyDescent="0.25">
      <c r="A4" s="22" t="s">
        <v>40</v>
      </c>
      <c r="B4" s="6" t="s">
        <v>41</v>
      </c>
      <c r="C4" s="6" t="s">
        <v>3</v>
      </c>
    </row>
  </sheetData>
  <mergeCells count="3">
    <mergeCell ref="A1:C1"/>
    <mergeCell ref="A2:C2"/>
    <mergeCell ref="A3:C3"/>
  </mergeCells>
  <printOptions horizontalCentered="1"/>
  <pageMargins left="0.35" right="0.35" top="0.55" bottom="0.55" header="0.2" footer="0.2"/>
  <pageSetup paperSize="9" orientation="landscape" fitToWidth="1" fitToHeight="0"/>
  <headerFooter>
    <oddFooter>&amp;LNumberNinjaTees&amp;C&amp;F&amp;RPage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Übersicht</vt:lpstr>
      <vt:lpstr>Monatsbudget</vt:lpstr>
      <vt:lpstr>Einnahmen</vt:lpstr>
      <vt:lpstr>Ausgaben</vt:lpstr>
      <vt:lpstr>Kategorien</vt:lpstr>
      <vt:lpstr>Anleitung</vt:lpstr>
    </vt:vector>
  </TitlesOfParts>
  <Company>NumberNinjaTees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NumberNinjaTees Finance Product Factory</dc:creator>
  <dc:title>Monthly Budget Planner</dc:title>
  <dc:subject>Feste und variable Kosten, Sparen und Restbudget monatlich planen.</dc:subject>
  <dc:description>monthly-budget-planner 1.0.0; de-DE; EUR; generated locally.</dc:description>
  <cp:keywords>monthly-budget, carry-over, savings, de-DE, EUR</cp:keywords>
  <cp:category>budgeting</cp:category>
  <cp:lastModifiedBy>NumberNinjaTees Finance Product Factory</cp:lastModifiedBy>
  <cp:lastPrinted>2026-07-15T18:06:52Z</cp:lastPrinted>
  <dcterms:created xsi:type="dcterms:W3CDTF">2026-07-15T18:06:52Z</dcterms:created>
  <dcterms:modified xsi:type="dcterms:W3CDTF">2026-07-15T18:06:52Z</dcterms:modified>
</cp:coreProperties>
</file>